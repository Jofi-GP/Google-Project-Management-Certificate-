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oject Schedule" sheetId="2" r:id="rId6"/>
    <sheet state="visible" name="Budget" sheetId="3" r:id="rId7"/>
    <sheet state="visible" name="Communication Plan" sheetId="4" r:id="rId8"/>
  </sheets>
  <definedNames/>
  <calcPr/>
</workbook>
</file>

<file path=xl/sharedStrings.xml><?xml version="1.0" encoding="utf-8"?>
<sst xmlns="http://schemas.openxmlformats.org/spreadsheetml/2006/main" count="292" uniqueCount="183">
  <si>
    <r>
      <rPr>
        <rFont val="Arial"/>
        <b/>
        <color rgb="FF000000"/>
        <sz val="11.0"/>
      </rPr>
      <t xml:space="preserve">Project Name: </t>
    </r>
    <r>
      <rPr>
        <rFont val="Arial"/>
        <b val="0"/>
        <color rgb="FF000000"/>
        <sz val="11.0"/>
      </rPr>
      <t>Plant Pals Operations &amp; Training</t>
    </r>
  </si>
  <si>
    <r>
      <rPr>
        <rFont val="Arial"/>
        <b/>
        <color theme="1"/>
        <sz val="11.0"/>
      </rPr>
      <t xml:space="preserve">Description:  </t>
    </r>
    <r>
      <rPr>
        <rFont val="Arial"/>
        <b val="0"/>
        <color theme="1"/>
        <sz val="11.0"/>
      </rPr>
      <t>This document centralizes important information for the Project planning and execution phases</t>
    </r>
  </si>
  <si>
    <r>
      <rPr>
        <rFont val="Arial"/>
        <b/>
        <color theme="1"/>
        <sz val="11.0"/>
      </rPr>
      <t xml:space="preserve">Owner: </t>
    </r>
    <r>
      <rPr>
        <rFont val="Arial"/>
        <b val="0"/>
        <color theme="1"/>
        <sz val="11.0"/>
      </rPr>
      <t>Josefina H</t>
    </r>
  </si>
  <si>
    <r>
      <rPr>
        <rFont val="Arial"/>
        <b/>
        <color theme="1"/>
        <sz val="11.0"/>
      </rPr>
      <t xml:space="preserve">Status: </t>
    </r>
    <r>
      <rPr>
        <rFont val="Arial"/>
        <b val="0"/>
        <color theme="1"/>
        <sz val="11.0"/>
      </rPr>
      <t>Draft/Active/Inactive</t>
    </r>
  </si>
  <si>
    <t>Key Docs</t>
  </si>
  <si>
    <t>Description</t>
  </si>
  <si>
    <t xml:space="preserve">Project charter </t>
  </si>
  <si>
    <t>A formal short document providing managers with authority to begin with Operations and Training plan</t>
  </si>
  <si>
    <t>Statement of work</t>
  </si>
  <si>
    <t>Legally binding document with the vendors for activities related to this project/part of this project</t>
  </si>
  <si>
    <t>Risk management plan</t>
  </si>
  <si>
    <t>A document destined to prevent and mitigate risks associated with the proejct</t>
  </si>
  <si>
    <t>Schedule</t>
  </si>
  <si>
    <t>Identifies timelines and due dates for each task and the responsibles associated with them</t>
  </si>
  <si>
    <t>Budget</t>
  </si>
  <si>
    <t>A calculation document for planned expenses and estimated total cost for the project along with under and over runs</t>
  </si>
  <si>
    <t>Communication plan</t>
  </si>
  <si>
    <t>Organizes how and when the information related to the project should be shared with stakeholders</t>
  </si>
  <si>
    <t>Shared folder</t>
  </si>
  <si>
    <t>Folder with relevant documentation</t>
  </si>
  <si>
    <t>RACI chart</t>
  </si>
  <si>
    <t>A responsibility assignment matrix that clarifies roles and responsibilities within the project team</t>
  </si>
  <si>
    <t xml:space="preserve"> </t>
  </si>
  <si>
    <t>PROJECT MANAGER: Josefina H</t>
  </si>
  <si>
    <t>CREATION DATE:</t>
  </si>
  <si>
    <t>TASK ID NUMBER</t>
  </si>
  <si>
    <t>MILESTONES &amp; TASKS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</si>
  <si>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</si>
  <si>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</si>
  <si>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</si>
  <si>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</si>
  <si>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</si>
  <si>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</si>
  <si>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</si>
  <si>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</si>
  <si>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</si>
  <si>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</si>
  <si>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</si>
  <si>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</si>
  <si>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</si>
  <si>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</si>
  <si>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</si>
  <si>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</si>
  <si>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</si>
  <si>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</si>
  <si>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</si>
  <si>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</si>
  <si>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</si>
  <si>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</si>
  <si>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</si>
  <si>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MARCH</t>
  </si>
  <si>
    <t>APRIL</t>
  </si>
  <si>
    <t>MAY</t>
  </si>
  <si>
    <t>JUNE</t>
  </si>
  <si>
    <t>M</t>
  </si>
  <si>
    <t>T</t>
  </si>
  <si>
    <t>W</t>
  </si>
  <si>
    <t>R</t>
  </si>
  <si>
    <t>F</t>
  </si>
  <si>
    <t>Establish a plant delivery and logistics plan</t>
  </si>
  <si>
    <t>Source packaging materials</t>
  </si>
  <si>
    <t>Fulfillment Director</t>
  </si>
  <si>
    <t>3/1</t>
  </si>
  <si>
    <t>3/12</t>
  </si>
  <si>
    <t>Hire delivery drivers</t>
  </si>
  <si>
    <t>HR Specialist</t>
  </si>
  <si>
    <t>3/15</t>
  </si>
  <si>
    <t>3/26</t>
  </si>
  <si>
    <t>calculate delivery fees</t>
  </si>
  <si>
    <t>Financial Analyst</t>
  </si>
  <si>
    <t>3/29</t>
  </si>
  <si>
    <t>4/2</t>
  </si>
  <si>
    <t>Select and install supply chain software and equipment</t>
  </si>
  <si>
    <t>Supervise vendor setup of inventory management and fulfillment software</t>
  </si>
  <si>
    <t>Inventory Manager</t>
  </si>
  <si>
    <t>4/12</t>
  </si>
  <si>
    <t>4/14</t>
  </si>
  <si>
    <t>Supervise vendor installation of the fulfillment equipment</t>
  </si>
  <si>
    <t>3/30</t>
  </si>
  <si>
    <t>4/8</t>
  </si>
  <si>
    <t>Establish internal safery protocols for equipment</t>
  </si>
  <si>
    <t>Quality Assurance Tester</t>
  </si>
  <si>
    <t>4/19</t>
  </si>
  <si>
    <t>4/30</t>
  </si>
  <si>
    <t>Develop and launch an employee training program</t>
  </si>
  <si>
    <t>Develop training sessions</t>
  </si>
  <si>
    <t>5/3</t>
  </si>
  <si>
    <t>5/13</t>
  </si>
  <si>
    <t>Train employees to use the software and equipment</t>
  </si>
  <si>
    <t>Training Manager</t>
  </si>
  <si>
    <t>5/18</t>
  </si>
  <si>
    <t>5/28</t>
  </si>
  <si>
    <t>Monitor progress and improve traninig processes</t>
  </si>
  <si>
    <t>5/19</t>
  </si>
  <si>
    <t>6/8</t>
  </si>
  <si>
    <t>Budget: Project Plant Pals Operations &amp; Training</t>
  </si>
  <si>
    <t>TARGET BUDGET</t>
  </si>
  <si>
    <t>ACTUAL/
FINAL SPEND</t>
  </si>
  <si>
    <t>UNDER/
OVER</t>
  </si>
  <si>
    <t>LABOR</t>
  </si>
  <si>
    <t>MATERIALS</t>
  </si>
  <si>
    <t>FIXED COST</t>
  </si>
  <si>
    <t>BUDGET</t>
  </si>
  <si>
    <t>ACTUAL</t>
  </si>
  <si>
    <t>UNDER/OVER</t>
  </si>
  <si>
    <t>EMPLOYEE DETAILS</t>
  </si>
  <si>
    <t>HOURS</t>
  </si>
  <si>
    <t>RATE</t>
  </si>
  <si>
    <t>UNITS</t>
  </si>
  <si>
    <t>$/UNIT</t>
  </si>
  <si>
    <t>Milestone 1: Establish a plant delivery and logistics plan</t>
  </si>
  <si>
    <t>Task 1: Purchase delivery trucks</t>
  </si>
  <si>
    <t>Task 2: Source packaging materials</t>
  </si>
  <si>
    <t>Task 3: Pay delivery drivers</t>
  </si>
  <si>
    <t>Delivery Driver (2)</t>
  </si>
  <si>
    <t>--</t>
  </si>
  <si>
    <t>Total</t>
  </si>
  <si>
    <t>Milestone 2: Select and install supply chain management software and equipment</t>
  </si>
  <si>
    <t>Task 1: Source vendor (includes setup, installation, and deployment of software and equipment systems)</t>
  </si>
  <si>
    <t>Milestone 3: Develop and launch an employee training program</t>
  </si>
  <si>
    <t>Task 1: Develop training sessions</t>
  </si>
  <si>
    <t>Task 2: Train employees to use the software and equipment</t>
  </si>
  <si>
    <t>Task 3: Monitor employee progress and improve training processes</t>
  </si>
  <si>
    <t>Reserve buffer</t>
  </si>
  <si>
    <t>TOTAL</t>
  </si>
  <si>
    <t>Project Plant Pals: 
Employee Training Communication Plan</t>
  </si>
  <si>
    <t>Recipients</t>
  </si>
  <si>
    <t>Type of Communication</t>
  </si>
  <si>
    <t>Frequency</t>
  </si>
  <si>
    <t>Sender/Owner</t>
  </si>
  <si>
    <t>Key Dates</t>
  </si>
  <si>
    <t>Delivery Method</t>
  </si>
  <si>
    <t>Goal</t>
  </si>
  <si>
    <t>Resource Links</t>
  </si>
  <si>
    <t>Notes</t>
  </si>
  <si>
    <t>Core Team</t>
  </si>
  <si>
    <t>Planning Meeting</t>
  </si>
  <si>
    <t>Daily</t>
  </si>
  <si>
    <t>Project Manager</t>
  </si>
  <si>
    <t>Every day at 3pm</t>
  </si>
  <si>
    <t>In Person</t>
  </si>
  <si>
    <t>Project planning and task updates to make sure the team stays on track</t>
  </si>
  <si>
    <t>[link to meeting agenda and notes]</t>
  </si>
  <si>
    <t>If needed, check in with manager about any high-level questions before meetings.</t>
  </si>
  <si>
    <t>Software and Equipment Vendor</t>
  </si>
  <si>
    <t>Weekly</t>
  </si>
  <si>
    <t>Tuesday 10 AM</t>
  </si>
  <si>
    <t>Go over the training manual in order to create an effective training plan for Office Green's employees</t>
  </si>
  <si>
    <t>Human Resources</t>
  </si>
  <si>
    <t>Core Team: Training Manager</t>
  </si>
  <si>
    <t>Each Monday at 11 AM</t>
  </si>
  <si>
    <t>Email (from company address)</t>
  </si>
  <si>
    <t>Project planning assistance; provide support during the training session</t>
  </si>
  <si>
    <t>Facilities</t>
  </si>
  <si>
    <t>Planning Check-In</t>
  </si>
  <si>
    <t>One time</t>
  </si>
  <si>
    <t>Core Team: Administrative Coordinator</t>
  </si>
  <si>
    <t>8th day</t>
  </si>
  <si>
    <t>Phone Call</t>
  </si>
  <si>
    <t>Reserve rooms, spaces, and equipment needed for employee training</t>
  </si>
  <si>
    <t>Meeting Room schedule spreadsheet</t>
  </si>
  <si>
    <t>Print Shop</t>
  </si>
  <si>
    <t>5th day</t>
  </si>
  <si>
    <t>Coordinate on the printing and delivery of training manuals for employees</t>
  </si>
  <si>
    <t>Vendor website &amp; phone number</t>
  </si>
  <si>
    <t>Office Green employees</t>
  </si>
  <si>
    <t>Informational Update</t>
  </si>
  <si>
    <t>Core Team: HR Specialist</t>
  </si>
  <si>
    <t>6th day</t>
  </si>
  <si>
    <t>Communicate schedules, locations, and other necessary details to trainees</t>
  </si>
  <si>
    <t>Training</t>
  </si>
  <si>
    <t>10th day (launch)</t>
  </si>
  <si>
    <t>Train employees to use the supply chain management software and equipment</t>
  </si>
  <si>
    <t>Plan extra day for unexpected cancellations/ abscences</t>
  </si>
  <si>
    <t>Survey</t>
  </si>
  <si>
    <t>11th day</t>
  </si>
  <si>
    <t>Post-training survey</t>
  </si>
  <si>
    <t>Your Manager</t>
  </si>
  <si>
    <t>Status Update</t>
  </si>
  <si>
    <t>every Monday at 2 PM</t>
  </si>
  <si>
    <t>Update on event planning, ask questions, and get feedback</t>
  </si>
  <si>
    <t>Senior Leaders: Director of Operations and the Director of Product (and CC your manager)</t>
  </si>
  <si>
    <t>High-level information and general updates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</si>
</sst>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dd, mmmm d, yyyy"/>
    <numFmt numFmtId="165" formatCode="mm/dd"/>
    <numFmt numFmtId="166" formatCode="&quot;$&quot;#,##0.00"/>
    <numFmt numFmtId="167" formatCode="m/d/yy"/>
    <numFmt numFmtId="168" formatCode="_(&quot;$&quot;* #,##0.00_);_(&quot;$&quot;* \(#,##0.00\);_(&quot;$&quot;* &quot;-&quot;??_);_(@_)"/>
  </numFmts>
  <fonts count="33">
    <font>
      <sz val="10.0"/>
      <color rgb="FF000000"/>
      <name val="Arial"/>
      <scheme val="minor"/>
    </font>
    <font>
      <b/>
      <sz val="11.0"/>
      <color rgb="FF000000"/>
      <name val="Arial"/>
    </font>
    <font/>
    <font>
      <color theme="1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sz val="11.0"/>
      <color rgb="FF000000"/>
      <name val="Arial"/>
    </font>
    <font>
      <color rgb="FF000000"/>
      <name val="Arial"/>
    </font>
    <font>
      <sz val="11.0"/>
      <color theme="1"/>
      <name val="Arial"/>
    </font>
    <font>
      <b/>
      <color rgb="FF34A853"/>
      <name val="Arial"/>
    </font>
    <font>
      <sz val="11.0"/>
      <color rgb="FF999999"/>
      <name val="Arial"/>
    </font>
    <font>
      <sz val="11.0"/>
      <color rgb="FF666666"/>
      <name val="Arial"/>
    </font>
    <font>
      <b/>
      <sz val="8.0"/>
      <color rgb="FF000000"/>
      <name val="Arial"/>
    </font>
    <font>
      <b/>
      <sz val="9.0"/>
      <color rgb="FF073763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666666"/>
      <name val="Arial"/>
    </font>
    <font>
      <color rgb="FF073763"/>
      <name val="Arial"/>
    </font>
    <font>
      <b/>
      <sz val="12.0"/>
      <color rgb="FF000000"/>
      <name val="Arial"/>
    </font>
    <font>
      <color rgb="FF434343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21.0"/>
      <color rgb="FF1F497D"/>
      <name val="Arial"/>
    </font>
    <font>
      <sz val="12.0"/>
      <color theme="1"/>
      <name val="Calibri"/>
    </font>
    <font>
      <sz val="14.0"/>
      <color rgb="FFFFFFFF"/>
      <name val="Arial"/>
    </font>
    <font>
      <sz val="12.0"/>
      <color theme="1"/>
      <name val="Arial"/>
    </font>
    <font>
      <sz val="11.0"/>
      <color rgb="FFFFFFFF"/>
      <name val="Arial"/>
    </font>
    <font>
      <b/>
      <sz val="14.0"/>
      <color rgb="FFFFFFFF"/>
      <name val="Arial"/>
    </font>
    <font>
      <b/>
      <sz val="12.0"/>
      <color rgb="FF34A853"/>
      <name val="Arial"/>
    </font>
    <font>
      <b/>
      <sz val="20.0"/>
      <color rgb="FF38761D"/>
      <name val="Arial"/>
    </font>
    <font>
      <b/>
      <sz val="12.0"/>
      <color rgb="FF38761D"/>
      <name val="Arial"/>
    </font>
    <font>
      <b/>
      <color rgb="FF274E13"/>
      <name val="Arial"/>
    </font>
    <font>
      <color rgb="FF0000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38761D"/>
        <bgColor rgb="FF38761D"/>
      </patternFill>
    </fill>
    <fill>
      <patternFill patternType="solid">
        <fgColor rgb="FFEEECE1"/>
        <bgColor rgb="FFEEECE1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274E13"/>
      </bottom>
    </border>
    <border>
      <bottom style="thin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bottom style="thin">
        <color rgb="FFCCCCCC"/>
      </bottom>
    </border>
    <border>
      <top style="thin">
        <color rgb="FFB7B7B7"/>
      </top>
      <bottom style="thin">
        <color rgb="FFB7B7B7"/>
      </bottom>
    </border>
    <border>
      <top style="thin">
        <color rgb="FFB7B7B7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hair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left/>
      <top/>
    </border>
    <border>
      <left/>
      <right/>
      <bottom/>
    </border>
    <border>
      <left/>
      <bottom/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left style="thin">
        <color rgb="FF000000"/>
      </left>
      <right style="thin">
        <color rgb="FF000000"/>
      </right>
      <top style="hair">
        <color rgb="FF969696"/>
      </top>
      <bottom style="hair">
        <color rgb="FF969696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hair">
        <color rgb="FF969696"/>
      </top>
      <bottom style="hair">
        <color rgb="FF96969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readingOrder="0" shrinkToFit="0" vertical="bottom" wrapText="1"/>
    </xf>
    <xf borderId="1" fillId="2" fontId="4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4" fillId="3" fontId="5" numFmtId="0" xfId="0" applyAlignment="1" applyBorder="1" applyFill="1" applyFont="1">
      <alignment vertical="bottom"/>
    </xf>
    <xf borderId="1" fillId="3" fontId="5" numFmtId="0" xfId="0" applyAlignment="1" applyBorder="1" applyFont="1">
      <alignment vertical="bottom"/>
    </xf>
    <xf borderId="4" fillId="2" fontId="6" numFmtId="0" xfId="0" applyAlignment="1" applyBorder="1" applyFont="1">
      <alignment readingOrder="0" shrinkToFit="0" wrapText="1"/>
    </xf>
    <xf borderId="1" fillId="4" fontId="6" numFmtId="0" xfId="0" applyAlignment="1" applyBorder="1" applyFill="1" applyFont="1">
      <alignment readingOrder="0" shrinkToFit="0" vertical="bottom" wrapText="1"/>
    </xf>
    <xf borderId="4" fillId="2" fontId="6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vertical="bottom"/>
    </xf>
    <xf borderId="4" fillId="2" fontId="8" numFmtId="0" xfId="0" applyAlignment="1" applyBorder="1" applyFont="1">
      <alignment readingOrder="0" shrinkToFit="0" wrapText="1"/>
    </xf>
    <xf borderId="0" fillId="0" fontId="7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0" fontId="6" numFmtId="0" xfId="0" applyAlignment="1" applyFont="1">
      <alignment shrinkToFit="0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4" fontId="11" numFmtId="165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shrinkToFit="0" vertical="bottom" wrapText="0"/>
    </xf>
    <xf borderId="0" fillId="4" fontId="6" numFmtId="0" xfId="0" applyAlignment="1" applyFont="1">
      <alignment shrinkToFit="0" wrapText="0"/>
    </xf>
    <xf borderId="0" fillId="4" fontId="6" numFmtId="0" xfId="0" applyAlignment="1" applyFont="1">
      <alignment horizontal="center" shrinkToFit="0" wrapText="0"/>
    </xf>
    <xf borderId="0" fillId="0" fontId="12" numFmtId="0" xfId="0" applyAlignment="1" applyFont="1">
      <alignment shrinkToFit="0" wrapText="0"/>
    </xf>
    <xf borderId="5" fillId="2" fontId="12" numFmtId="0" xfId="0" applyAlignment="1" applyBorder="1" applyFont="1">
      <alignment horizontal="center" readingOrder="0"/>
    </xf>
    <xf borderId="5" fillId="5" fontId="12" numFmtId="0" xfId="0" applyAlignment="1" applyBorder="1" applyFill="1" applyFont="1">
      <alignment horizontal="center" readingOrder="0"/>
    </xf>
    <xf borderId="5" fillId="5" fontId="12" numFmtId="0" xfId="0" applyAlignment="1" applyBorder="1" applyFont="1">
      <alignment horizontal="center" readingOrder="0" shrinkToFit="0" wrapText="1"/>
    </xf>
    <xf borderId="0" fillId="6" fontId="13" numFmtId="0" xfId="0" applyAlignment="1" applyFill="1" applyFont="1">
      <alignment horizontal="center" readingOrder="0" shrinkToFit="0" wrapText="0"/>
    </xf>
    <xf borderId="0" fillId="7" fontId="13" numFmtId="0" xfId="0" applyAlignment="1" applyFill="1" applyFont="1">
      <alignment horizontal="center" readingOrder="0" shrinkToFit="0" wrapText="0"/>
    </xf>
    <xf borderId="0" fillId="8" fontId="14" numFmtId="0" xfId="0" applyAlignment="1" applyFill="1" applyFont="1">
      <alignment horizontal="center" readingOrder="0" shrinkToFit="0" wrapText="0"/>
    </xf>
    <xf borderId="0" fillId="0" fontId="15" numFmtId="0" xfId="0" applyAlignment="1" applyFont="1">
      <alignment shrinkToFit="0" wrapText="0"/>
    </xf>
    <xf borderId="5" fillId="0" fontId="2" numFmtId="0" xfId="0" applyBorder="1" applyFont="1"/>
    <xf borderId="0" fillId="9" fontId="14" numFmtId="0" xfId="0" applyAlignment="1" applyFill="1" applyFont="1">
      <alignment horizontal="center" readingOrder="0" shrinkToFit="0" wrapText="0"/>
    </xf>
    <xf borderId="0" fillId="4" fontId="16" numFmtId="0" xfId="0" applyAlignment="1" applyFont="1">
      <alignment horizontal="center" readingOrder="0" shrinkToFit="0" wrapText="0"/>
    </xf>
    <xf borderId="0" fillId="10" fontId="13" numFmtId="0" xfId="0" applyAlignment="1" applyFill="1" applyFont="1">
      <alignment readingOrder="0" shrinkToFit="0" wrapText="0"/>
    </xf>
    <xf borderId="0" fillId="10" fontId="17" numFmtId="0" xfId="0" applyAlignment="1" applyFont="1">
      <alignment shrinkToFit="0" wrapText="0"/>
    </xf>
    <xf borderId="0" fillId="10" fontId="17" numFmtId="0" xfId="0" applyAlignment="1" applyFont="1">
      <alignment shrinkToFit="0" wrapText="0"/>
    </xf>
    <xf borderId="5" fillId="10" fontId="17" numFmtId="0" xfId="0" applyAlignment="1" applyBorder="1" applyFont="1">
      <alignment shrinkToFit="0" wrapText="0"/>
    </xf>
    <xf borderId="6" fillId="6" fontId="13" numFmtId="0" xfId="0" applyAlignment="1" applyBorder="1" applyFont="1">
      <alignment horizontal="center" readingOrder="0" shrinkToFit="0" vertical="bottom" wrapText="0"/>
    </xf>
    <xf borderId="6" fillId="7" fontId="13" numFmtId="0" xfId="0" applyAlignment="1" applyBorder="1" applyFont="1">
      <alignment horizontal="center" readingOrder="0" shrinkToFit="0" vertical="bottom" wrapText="0"/>
    </xf>
    <xf borderId="6" fillId="8" fontId="14" numFmtId="0" xfId="0" applyAlignment="1" applyBorder="1" applyFont="1">
      <alignment horizontal="center" readingOrder="0" shrinkToFit="0" vertical="bottom" wrapText="0"/>
    </xf>
    <xf borderId="0" fillId="10" fontId="1" numFmtId="0" xfId="0" applyAlignment="1" applyFont="1">
      <alignment horizontal="left" readingOrder="0"/>
    </xf>
    <xf borderId="0" fillId="10" fontId="18" numFmtId="0" xfId="0" applyAlignment="1" applyFont="1">
      <alignment readingOrder="0" shrinkToFit="0" wrapText="0"/>
    </xf>
    <xf borderId="0" fillId="10" fontId="1" numFmtId="0" xfId="0" applyFont="1"/>
    <xf borderId="0" fillId="6" fontId="13" numFmtId="0" xfId="0" applyAlignment="1" applyFont="1">
      <alignment horizontal="center" readingOrder="0" shrinkToFit="0" vertical="bottom" wrapText="0"/>
    </xf>
    <xf borderId="0" fillId="7" fontId="13" numFmtId="0" xfId="0" applyAlignment="1" applyFont="1">
      <alignment horizontal="center" readingOrder="0" shrinkToFit="0" vertical="bottom" wrapText="0"/>
    </xf>
    <xf borderId="0" fillId="8" fontId="14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0" xfId="0" applyFont="1"/>
    <xf borderId="7" fillId="0" fontId="19" numFmtId="0" xfId="0" applyAlignment="1" applyBorder="1" applyFont="1">
      <alignment vertical="bottom"/>
    </xf>
    <xf borderId="7" fillId="0" fontId="19" numFmtId="0" xfId="0" applyAlignment="1" applyBorder="1" applyFont="1">
      <alignment horizontal="center" vertical="bottom"/>
    </xf>
    <xf borderId="7" fillId="0" fontId="19" numFmtId="49" xfId="0" applyAlignment="1" applyBorder="1" applyFont="1" applyNumberFormat="1">
      <alignment horizontal="center" vertical="bottom"/>
    </xf>
    <xf borderId="7" fillId="11" fontId="19" numFmtId="9" xfId="0" applyAlignment="1" applyBorder="1" applyFill="1" applyFont="1" applyNumberFormat="1">
      <alignment horizontal="center" shrinkToFit="0" wrapText="1"/>
    </xf>
    <xf borderId="8" fillId="6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0" fillId="6" fontId="3" numFmtId="0" xfId="0" applyAlignment="1" applyBorder="1" applyFont="1">
      <alignment vertical="bottom"/>
    </xf>
    <xf borderId="0" fillId="10" fontId="4" numFmtId="0" xfId="0" applyAlignment="1" applyFont="1">
      <alignment vertical="bottom"/>
    </xf>
    <xf borderId="0" fillId="10" fontId="20" numFmtId="0" xfId="0" applyAlignment="1" applyFont="1">
      <alignment vertical="bottom"/>
    </xf>
    <xf borderId="0" fillId="10" fontId="3" numFmtId="0" xfId="0" applyAlignment="1" applyFont="1">
      <alignment vertical="bottom"/>
    </xf>
    <xf borderId="0" fillId="10" fontId="3" numFmtId="49" xfId="0" applyAlignment="1" applyFont="1" applyNumberFormat="1">
      <alignment vertical="bottom"/>
    </xf>
    <xf borderId="11" fillId="10" fontId="3" numFmtId="0" xfId="0" applyBorder="1" applyFont="1"/>
    <xf borderId="0" fillId="10" fontId="3" numFmtId="166" xfId="0" applyAlignment="1" applyFont="1" applyNumberFormat="1">
      <alignment vertical="bottom"/>
    </xf>
    <xf borderId="0" fillId="10" fontId="3" numFmtId="3" xfId="0" applyAlignment="1" applyFont="1" applyNumberFormat="1">
      <alignment vertical="bottom"/>
    </xf>
    <xf borderId="0" fillId="10" fontId="3" numFmtId="166" xfId="0" applyAlignment="1" applyFont="1" applyNumberFormat="1">
      <alignment vertical="bottom"/>
    </xf>
    <xf borderId="0" fillId="10" fontId="7" numFmtId="0" xfId="0" applyAlignment="1" applyFont="1">
      <alignment shrinkToFit="0" vertical="bottom" wrapText="0"/>
    </xf>
    <xf borderId="9" fillId="0" fontId="3" numFmtId="9" xfId="0" applyAlignment="1" applyBorder="1" applyFont="1" applyNumberFormat="1">
      <alignment vertical="bottom"/>
    </xf>
    <xf borderId="9" fillId="0" fontId="3" numFmtId="166" xfId="0" applyAlignment="1" applyBorder="1" applyFont="1" applyNumberFormat="1">
      <alignment vertical="bottom"/>
    </xf>
    <xf borderId="9" fillId="7" fontId="3" numFmtId="0" xfId="0" applyAlignment="1" applyBorder="1" applyFont="1">
      <alignment vertical="bottom"/>
    </xf>
    <xf borderId="12" fillId="0" fontId="19" numFmtId="0" xfId="0" applyAlignment="1" applyBorder="1" applyFont="1">
      <alignment vertical="bottom"/>
    </xf>
    <xf borderId="10" fillId="0" fontId="3" numFmtId="9" xfId="0" applyAlignment="1" applyBorder="1" applyFont="1" applyNumberFormat="1">
      <alignment vertical="bottom"/>
    </xf>
    <xf borderId="10" fillId="0" fontId="3" numFmtId="166" xfId="0" applyAlignment="1" applyBorder="1" applyFont="1" applyNumberFormat="1">
      <alignment vertical="bottom"/>
    </xf>
    <xf borderId="13" fillId="0" fontId="19" numFmtId="0" xfId="0" applyAlignment="1" applyBorder="1" applyFont="1">
      <alignment vertical="bottom"/>
    </xf>
    <xf borderId="0" fillId="0" fontId="7" numFmtId="166" xfId="0" applyAlignment="1" applyFont="1" applyNumberFormat="1">
      <alignment shrinkToFit="0" vertical="bottom" wrapText="0"/>
    </xf>
    <xf borderId="0" fillId="0" fontId="7" numFmtId="3" xfId="0" applyAlignment="1" applyFont="1" applyNumberFormat="1">
      <alignment shrinkToFit="0" vertical="bottom" wrapText="0"/>
    </xf>
    <xf borderId="9" fillId="8" fontId="3" numFmtId="0" xfId="0" applyAlignment="1" applyBorder="1" applyFont="1">
      <alignment vertical="bottom"/>
    </xf>
    <xf borderId="10" fillId="4" fontId="3" numFmtId="0" xfId="0" applyAlignment="1" applyBorder="1" applyFont="1">
      <alignment vertical="bottom"/>
    </xf>
    <xf borderId="10" fillId="8" fontId="3" numFmtId="0" xfId="0" applyAlignment="1" applyBorder="1" applyFont="1">
      <alignment vertical="bottom"/>
    </xf>
    <xf borderId="0" fillId="0" fontId="21" numFmtId="0" xfId="0" applyFont="1"/>
    <xf borderId="0" fillId="0" fontId="21" numFmtId="167" xfId="0" applyFont="1" applyNumberFormat="1"/>
    <xf borderId="0" fillId="0" fontId="21" numFmtId="9" xfId="0" applyFont="1" applyNumberFormat="1"/>
    <xf borderId="0" fillId="0" fontId="21" numFmtId="166" xfId="0" applyFont="1" applyNumberFormat="1"/>
    <xf borderId="0" fillId="0" fontId="21" numFmtId="3" xfId="0" applyFont="1" applyNumberFormat="1"/>
    <xf borderId="0" fillId="0" fontId="21" numFmtId="166" xfId="0" applyFont="1" applyNumberFormat="1"/>
    <xf borderId="14" fillId="4" fontId="2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0" fontId="23" numFmtId="0" xfId="0" applyAlignment="1" applyFont="1">
      <alignment vertical="bottom"/>
    </xf>
    <xf borderId="17" fillId="4" fontId="23" numFmtId="0" xfId="0" applyAlignment="1" applyBorder="1" applyFont="1">
      <alignment vertical="bottom"/>
    </xf>
    <xf borderId="18" fillId="4" fontId="23" numFmtId="0" xfId="0" applyAlignment="1" applyBorder="1" applyFont="1">
      <alignment vertical="bottom"/>
    </xf>
    <xf borderId="19" fillId="12" fontId="24" numFmtId="0" xfId="0" applyAlignment="1" applyBorder="1" applyFill="1" applyFont="1">
      <alignment horizontal="center" shrinkToFit="0" vertical="top" wrapText="1"/>
    </xf>
    <xf borderId="19" fillId="9" fontId="24" numFmtId="0" xfId="0" applyAlignment="1" applyBorder="1" applyFont="1">
      <alignment horizontal="center" shrinkToFit="0" vertical="top" wrapText="1"/>
    </xf>
    <xf borderId="20" fillId="0" fontId="23" numFmtId="0" xfId="0" applyAlignment="1" applyBorder="1" applyFont="1">
      <alignment vertical="bottom"/>
    </xf>
    <xf borderId="18" fillId="4" fontId="23" numFmtId="168" xfId="0" applyAlignment="1" applyBorder="1" applyFont="1" applyNumberFormat="1">
      <alignment vertical="bottom"/>
    </xf>
    <xf borderId="21" fillId="13" fontId="25" numFmtId="168" xfId="0" applyAlignment="1" applyBorder="1" applyFill="1" applyFont="1" applyNumberFormat="1">
      <alignment horizontal="center" vertical="bottom"/>
    </xf>
    <xf borderId="21" fillId="5" fontId="25" numFmtId="168" xfId="0" applyAlignment="1" applyBorder="1" applyFont="1" applyNumberFormat="1">
      <alignment horizontal="center" vertical="bottom"/>
    </xf>
    <xf borderId="21" fillId="4" fontId="25" numFmtId="168" xfId="0" applyAlignment="1" applyBorder="1" applyFont="1" applyNumberFormat="1">
      <alignment horizontal="right" vertical="bottom"/>
    </xf>
    <xf borderId="22" fillId="4" fontId="23" numFmtId="0" xfId="0" applyAlignment="1" applyBorder="1" applyFont="1">
      <alignment vertical="bottom"/>
    </xf>
    <xf borderId="23" fillId="4" fontId="23" numFmtId="0" xfId="0" applyAlignment="1" applyBorder="1" applyFont="1">
      <alignment vertical="bottom"/>
    </xf>
    <xf borderId="19" fillId="4" fontId="23" numFmtId="0" xfId="0" applyAlignment="1" applyBorder="1" applyFont="1">
      <alignment vertical="bottom"/>
    </xf>
    <xf borderId="4" fillId="0" fontId="23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bottom"/>
    </xf>
    <xf borderId="19" fillId="12" fontId="26" numFmtId="0" xfId="0" applyAlignment="1" applyBorder="1" applyFont="1">
      <alignment horizontal="center" vertical="top"/>
    </xf>
    <xf borderId="19" fillId="9" fontId="26" numFmtId="0" xfId="0" applyAlignment="1" applyBorder="1" applyFont="1">
      <alignment horizontal="center" vertical="top"/>
    </xf>
    <xf borderId="19" fillId="9" fontId="26" numFmtId="0" xfId="0" applyAlignment="1" applyBorder="1" applyFont="1">
      <alignment vertical="top"/>
    </xf>
    <xf borderId="24" fillId="14" fontId="26" numFmtId="0" xfId="0" applyAlignment="1" applyBorder="1" applyFill="1" applyFont="1">
      <alignment horizontal="center"/>
    </xf>
    <xf borderId="25" fillId="14" fontId="23" numFmtId="0" xfId="0" applyBorder="1" applyFont="1"/>
    <xf borderId="19" fillId="14" fontId="23" numFmtId="0" xfId="0" applyBorder="1" applyFont="1"/>
    <xf borderId="0" fillId="0" fontId="23" numFmtId="0" xfId="0" applyFont="1"/>
    <xf borderId="17" fillId="15" fontId="4" numFmtId="0" xfId="0" applyAlignment="1" applyBorder="1" applyFill="1" applyFont="1">
      <alignment vertical="bottom"/>
    </xf>
    <xf borderId="17" fillId="15" fontId="23" numFmtId="0" xfId="0" applyAlignment="1" applyBorder="1" applyFont="1">
      <alignment vertical="bottom"/>
    </xf>
    <xf borderId="18" fillId="15" fontId="23" numFmtId="0" xfId="0" applyAlignment="1" applyBorder="1" applyFont="1">
      <alignment vertical="bottom"/>
    </xf>
    <xf borderId="19" fillId="15" fontId="23" numFmtId="0" xfId="0" applyAlignment="1" applyBorder="1" applyFont="1">
      <alignment vertical="bottom"/>
    </xf>
    <xf borderId="17" fillId="15" fontId="8" numFmtId="0" xfId="0" applyAlignment="1" applyBorder="1" applyFont="1">
      <alignment vertical="bottom"/>
    </xf>
    <xf borderId="0" fillId="4" fontId="23" numFmtId="168" xfId="0" applyAlignment="1" applyFont="1" applyNumberFormat="1">
      <alignment vertical="bottom"/>
    </xf>
    <xf borderId="0" fillId="4" fontId="8" numFmtId="168" xfId="0" applyAlignment="1" applyFont="1" applyNumberFormat="1">
      <alignment horizontal="right" vertical="bottom"/>
    </xf>
    <xf borderId="26" fillId="4" fontId="23" numFmtId="168" xfId="0" applyAlignment="1" applyBorder="1" applyFont="1" applyNumberFormat="1">
      <alignment vertical="bottom"/>
    </xf>
    <xf borderId="27" fillId="4" fontId="8" numFmtId="168" xfId="0" applyAlignment="1" applyBorder="1" applyFont="1" applyNumberFormat="1">
      <alignment horizontal="center" vertical="bottom"/>
    </xf>
    <xf borderId="27" fillId="4" fontId="23" numFmtId="168" xfId="0" applyAlignment="1" applyBorder="1" applyFont="1" applyNumberFormat="1">
      <alignment vertical="bottom"/>
    </xf>
    <xf borderId="0" fillId="15" fontId="8" numFmtId="0" xfId="0" applyAlignment="1" applyFont="1">
      <alignment vertical="bottom"/>
    </xf>
    <xf borderId="0" fillId="4" fontId="8" numFmtId="168" xfId="0" applyAlignment="1" applyFont="1" applyNumberFormat="1">
      <alignment vertical="bottom"/>
    </xf>
    <xf borderId="28" fillId="16" fontId="4" numFmtId="0" xfId="0" applyAlignment="1" applyBorder="1" applyFill="1" applyFont="1">
      <alignment vertical="bottom"/>
    </xf>
    <xf borderId="28" fillId="16" fontId="23" numFmtId="0" xfId="0" applyAlignment="1" applyBorder="1" applyFont="1">
      <alignment vertical="bottom"/>
    </xf>
    <xf borderId="28" fillId="16" fontId="23" numFmtId="168" xfId="0" applyAlignment="1" applyBorder="1" applyFont="1" applyNumberFormat="1">
      <alignment vertical="bottom"/>
    </xf>
    <xf borderId="14" fillId="16" fontId="4" numFmtId="168" xfId="0" applyAlignment="1" applyBorder="1" applyFont="1" applyNumberFormat="1">
      <alignment horizontal="right" vertical="bottom"/>
    </xf>
    <xf borderId="29" fillId="16" fontId="4" numFmtId="168" xfId="0" applyAlignment="1" applyBorder="1" applyFont="1" applyNumberFormat="1">
      <alignment horizontal="center" vertical="bottom"/>
    </xf>
    <xf borderId="29" fillId="16" fontId="23" numFmtId="0" xfId="0" applyAlignment="1" applyBorder="1" applyFont="1">
      <alignment vertical="bottom"/>
    </xf>
    <xf borderId="0" fillId="15" fontId="4" numFmtId="0" xfId="0" applyAlignment="1" applyFont="1">
      <alignment shrinkToFit="0" vertical="bottom" wrapText="1"/>
    </xf>
    <xf borderId="24" fillId="15" fontId="23" numFmtId="0" xfId="0" applyAlignment="1" applyBorder="1" applyFont="1">
      <alignment vertical="bottom"/>
    </xf>
    <xf borderId="24" fillId="15" fontId="23" numFmtId="168" xfId="0" applyAlignment="1" applyBorder="1" applyFont="1" applyNumberFormat="1">
      <alignment vertical="bottom"/>
    </xf>
    <xf borderId="25" fillId="15" fontId="23" numFmtId="168" xfId="0" applyAlignment="1" applyBorder="1" applyFont="1" applyNumberFormat="1">
      <alignment vertical="bottom"/>
    </xf>
    <xf borderId="30" fillId="15" fontId="23" numFmtId="168" xfId="0" applyAlignment="1" applyBorder="1" applyFont="1" applyNumberFormat="1">
      <alignment vertical="bottom"/>
    </xf>
    <xf borderId="0" fillId="15" fontId="8" numFmtId="0" xfId="0" applyAlignment="1" applyFont="1">
      <alignment shrinkToFit="0" vertical="bottom" wrapText="1"/>
    </xf>
    <xf borderId="31" fillId="4" fontId="23" numFmtId="168" xfId="0" applyAlignment="1" applyBorder="1" applyFont="1" applyNumberFormat="1">
      <alignment vertical="bottom"/>
    </xf>
    <xf borderId="31" fillId="4" fontId="23" numFmtId="0" xfId="0" applyAlignment="1" applyBorder="1" applyFont="1">
      <alignment vertical="bottom"/>
    </xf>
    <xf borderId="26" fillId="4" fontId="8" numFmtId="168" xfId="0" applyAlignment="1" applyBorder="1" applyFont="1" applyNumberFormat="1">
      <alignment horizontal="right" vertical="bottom"/>
    </xf>
    <xf borderId="19" fillId="0" fontId="8" numFmtId="168" xfId="0" applyAlignment="1" applyBorder="1" applyFont="1" applyNumberFormat="1">
      <alignment horizontal="right" vertical="bottom"/>
    </xf>
    <xf borderId="0" fillId="15" fontId="4" numFmtId="0" xfId="0" applyAlignment="1" applyFont="1">
      <alignment vertical="bottom"/>
    </xf>
    <xf borderId="24" fillId="15" fontId="23" numFmtId="3" xfId="0" applyAlignment="1" applyBorder="1" applyFont="1" applyNumberFormat="1">
      <alignment vertical="bottom"/>
    </xf>
    <xf borderId="32" fillId="15" fontId="23" numFmtId="168" xfId="0" applyAlignment="1" applyBorder="1" applyFont="1" applyNumberFormat="1">
      <alignment vertical="bottom"/>
    </xf>
    <xf borderId="0" fillId="0" fontId="8" numFmtId="168" xfId="0" applyAlignment="1" applyFont="1" applyNumberFormat="1">
      <alignment vertical="bottom"/>
    </xf>
    <xf borderId="0" fillId="0" fontId="8" numFmtId="168" xfId="0" applyAlignment="1" applyFont="1" applyNumberFormat="1">
      <alignment horizontal="right" vertical="bottom"/>
    </xf>
    <xf borderId="31" fillId="0" fontId="23" numFmtId="168" xfId="0" applyAlignment="1" applyBorder="1" applyFont="1" applyNumberFormat="1">
      <alignment vertical="bottom"/>
    </xf>
    <xf borderId="26" fillId="0" fontId="23" numFmtId="168" xfId="0" applyAlignment="1" applyBorder="1" applyFont="1" applyNumberFormat="1">
      <alignment vertical="bottom"/>
    </xf>
    <xf borderId="32" fillId="4" fontId="8" numFmtId="168" xfId="0" applyAlignment="1" applyBorder="1" applyFont="1" applyNumberFormat="1">
      <alignment horizontal="center" vertical="bottom"/>
    </xf>
    <xf borderId="33" fillId="4" fontId="23" numFmtId="168" xfId="0" applyAlignment="1" applyBorder="1" applyFont="1" applyNumberFormat="1">
      <alignment vertical="bottom"/>
    </xf>
    <xf borderId="34" fillId="16" fontId="4" numFmtId="168" xfId="0" applyAlignment="1" applyBorder="1" applyFont="1" applyNumberFormat="1">
      <alignment horizontal="center" vertical="bottom"/>
    </xf>
    <xf borderId="16" fillId="16" fontId="4" numFmtId="168" xfId="0" applyAlignment="1" applyBorder="1" applyFont="1" applyNumberFormat="1">
      <alignment horizontal="center" vertical="bottom"/>
    </xf>
    <xf borderId="24" fillId="15" fontId="8" numFmtId="0" xfId="0" applyAlignment="1" applyBorder="1" applyFont="1">
      <alignment vertical="bottom"/>
    </xf>
    <xf borderId="30" fillId="4" fontId="23" numFmtId="168" xfId="0" applyAlignment="1" applyBorder="1" applyFont="1" applyNumberFormat="1">
      <alignment vertical="bottom"/>
    </xf>
    <xf borderId="30" fillId="0" fontId="23" numFmtId="0" xfId="0" applyAlignment="1" applyBorder="1" applyFont="1">
      <alignment vertical="bottom"/>
    </xf>
    <xf borderId="17" fillId="14" fontId="27" numFmtId="0" xfId="0" applyAlignment="1" applyBorder="1" applyFont="1">
      <alignment vertical="bottom"/>
    </xf>
    <xf borderId="17" fillId="14" fontId="23" numFmtId="0" xfId="0" applyAlignment="1" applyBorder="1" applyFont="1">
      <alignment vertical="bottom"/>
    </xf>
    <xf borderId="18" fillId="14" fontId="23" numFmtId="168" xfId="0" applyAlignment="1" applyBorder="1" applyFont="1" applyNumberFormat="1">
      <alignment vertical="bottom"/>
    </xf>
    <xf borderId="19" fillId="12" fontId="27" numFmtId="168" xfId="0" applyAlignment="1" applyBorder="1" applyFont="1" applyNumberFormat="1">
      <alignment horizontal="center" vertical="bottom"/>
    </xf>
    <xf borderId="19" fillId="14" fontId="27" numFmtId="168" xfId="0" applyAlignment="1" applyBorder="1" applyFont="1" applyNumberFormat="1">
      <alignment horizontal="center" vertical="bottom"/>
    </xf>
    <xf borderId="19" fillId="14" fontId="23" numFmtId="0" xfId="0" applyAlignment="1" applyBorder="1" applyFont="1">
      <alignment vertical="bottom"/>
    </xf>
    <xf borderId="0" fillId="0" fontId="21" numFmtId="168" xfId="0" applyFont="1" applyNumberFormat="1"/>
    <xf borderId="0" fillId="0" fontId="28" numFmtId="0" xfId="0" applyAlignment="1" applyFont="1">
      <alignment horizontal="left" readingOrder="0" shrinkToFit="0" vertical="center" wrapText="1"/>
    </xf>
    <xf borderId="0" fillId="4" fontId="29" numFmtId="0" xfId="0" applyFont="1"/>
    <xf borderId="0" fillId="17" fontId="30" numFmtId="0" xfId="0" applyAlignment="1" applyFill="1" applyFont="1">
      <alignment horizontal="center" shrinkToFit="0" wrapText="1"/>
    </xf>
    <xf borderId="0" fillId="18" fontId="31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5AB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25"/>
    <col customWidth="1" min="2" max="2" width="41.63"/>
    <col customWidth="1" min="3" max="3" width="38.5"/>
  </cols>
  <sheetData>
    <row r="1" ht="22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" t="s">
        <v>2</v>
      </c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6" t="s">
        <v>3</v>
      </c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8" t="s">
        <v>4</v>
      </c>
      <c r="B6" s="9" t="s">
        <v>5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10" t="s">
        <v>6</v>
      </c>
      <c r="B7" s="11" t="s">
        <v>7</v>
      </c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2" t="s">
        <v>8</v>
      </c>
      <c r="B8" s="13" t="s">
        <v>9</v>
      </c>
      <c r="C8" s="14"/>
    </row>
    <row r="9" ht="20.25" customHeight="1">
      <c r="A9" s="12" t="s">
        <v>10</v>
      </c>
      <c r="B9" s="13" t="s">
        <v>11</v>
      </c>
      <c r="C9" s="14"/>
    </row>
    <row r="10" ht="22.5" customHeight="1">
      <c r="A10" s="10" t="s">
        <v>12</v>
      </c>
      <c r="B10" s="15" t="s">
        <v>13</v>
      </c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0" t="s">
        <v>14</v>
      </c>
      <c r="B11" s="15" t="s">
        <v>15</v>
      </c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10" t="s">
        <v>16</v>
      </c>
      <c r="B12" s="15" t="s">
        <v>17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12" t="s">
        <v>18</v>
      </c>
      <c r="B13" s="15" t="s">
        <v>19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16" t="s">
        <v>20</v>
      </c>
      <c r="B14" s="15" t="s">
        <v>21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22</v>
      </c>
      <c r="B15" s="18"/>
      <c r="C15" s="1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22</v>
      </c>
      <c r="B16" s="18"/>
      <c r="C16" s="1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2">
    <mergeCell ref="B10:C10"/>
    <mergeCell ref="B11:C11"/>
    <mergeCell ref="B12:C12"/>
    <mergeCell ref="B13:C13"/>
    <mergeCell ref="B14:C14"/>
    <mergeCell ref="A1:C1"/>
    <mergeCell ref="A2:C2"/>
    <mergeCell ref="A3:C3"/>
    <mergeCell ref="A4:C4"/>
    <mergeCell ref="A5:C5"/>
    <mergeCell ref="B6:C6"/>
    <mergeCell ref="B7:C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59.38"/>
    <col customWidth="1" min="4" max="4" width="24.38"/>
    <col customWidth="1" min="5" max="6" width="10.5"/>
    <col customWidth="1" min="7" max="7" width="8.63"/>
    <col customWidth="1" min="9" max="38" width="3.0"/>
    <col customWidth="1" min="39" max="98" width="3.38"/>
  </cols>
  <sheetData>
    <row r="1" ht="21.0" customHeight="1">
      <c r="A1" s="19"/>
      <c r="B1" s="20" t="s">
        <v>23</v>
      </c>
      <c r="D1" s="21"/>
      <c r="H1" s="22"/>
      <c r="I1" s="20" t="s">
        <v>24</v>
      </c>
      <c r="N1" s="23">
        <v>45693.0</v>
      </c>
      <c r="X1" s="24"/>
      <c r="Z1" s="24"/>
      <c r="AB1" s="24"/>
      <c r="AD1" s="24"/>
      <c r="AF1" s="24"/>
      <c r="AH1" s="24"/>
      <c r="AJ1" s="24"/>
      <c r="AL1" s="24"/>
      <c r="AN1" s="24"/>
      <c r="AP1" s="24"/>
      <c r="AR1" s="24"/>
      <c r="AT1" s="24"/>
      <c r="AV1" s="24"/>
      <c r="AX1" s="24"/>
      <c r="AZ1" s="24"/>
      <c r="BB1" s="24"/>
      <c r="BD1" s="24"/>
      <c r="BF1" s="24"/>
      <c r="BH1" s="24"/>
      <c r="BJ1" s="24"/>
      <c r="BL1" s="24"/>
      <c r="BN1" s="24"/>
      <c r="BP1" s="24"/>
      <c r="BR1" s="24"/>
      <c r="BT1" s="24"/>
      <c r="BV1" s="24"/>
      <c r="BX1" s="24"/>
      <c r="BZ1" s="24"/>
      <c r="CB1" s="24"/>
      <c r="CD1" s="24"/>
      <c r="CF1" s="25"/>
      <c r="CH1" s="25"/>
      <c r="CJ1" s="25"/>
      <c r="CL1" s="25"/>
      <c r="CN1" s="25"/>
      <c r="CP1" s="25"/>
      <c r="CR1" s="25"/>
      <c r="CT1" s="25"/>
    </row>
    <row r="2" ht="21.0" customHeight="1">
      <c r="A2" s="19"/>
      <c r="C2" s="26"/>
      <c r="D2" s="26"/>
      <c r="E2" s="26"/>
      <c r="F2" s="26"/>
      <c r="G2" s="27"/>
      <c r="H2" s="27"/>
      <c r="I2" s="26"/>
      <c r="K2" s="26"/>
      <c r="M2" s="19"/>
      <c r="O2" s="19"/>
      <c r="Q2" s="19"/>
      <c r="S2" s="19"/>
      <c r="U2" s="19"/>
      <c r="W2" s="24"/>
      <c r="Y2" s="24"/>
      <c r="AA2" s="24"/>
      <c r="AC2" s="24"/>
      <c r="AE2" s="24"/>
      <c r="AG2" s="24"/>
      <c r="AI2" s="24"/>
      <c r="AK2" s="24"/>
      <c r="AM2" s="24"/>
      <c r="AO2" s="24"/>
      <c r="AQ2" s="24"/>
      <c r="AS2" s="24"/>
      <c r="AU2" s="24"/>
      <c r="AW2" s="24"/>
      <c r="AY2" s="24"/>
      <c r="BA2" s="24"/>
      <c r="BC2" s="24"/>
      <c r="BE2" s="24"/>
      <c r="BG2" s="24"/>
      <c r="BI2" s="24"/>
      <c r="BK2" s="24"/>
      <c r="BM2" s="24"/>
      <c r="BO2" s="24"/>
      <c r="BQ2" s="24"/>
      <c r="BS2" s="24"/>
      <c r="BU2" s="24"/>
      <c r="BW2" s="24"/>
      <c r="BY2" s="24"/>
      <c r="CA2" s="24"/>
      <c r="CC2" s="24"/>
      <c r="CE2" s="24"/>
      <c r="CG2" s="25"/>
      <c r="CI2" s="25"/>
      <c r="CK2" s="25"/>
      <c r="CM2" s="25"/>
      <c r="CO2" s="25"/>
      <c r="CQ2" s="25"/>
      <c r="CS2" s="25"/>
    </row>
    <row r="3" ht="21.0" customHeight="1">
      <c r="A3" s="19"/>
      <c r="C3" s="26"/>
      <c r="D3" s="26"/>
      <c r="E3" s="26"/>
      <c r="F3" s="26"/>
      <c r="G3" s="27"/>
      <c r="H3" s="27"/>
      <c r="I3" s="26"/>
      <c r="K3" s="26"/>
      <c r="M3" s="19"/>
      <c r="O3" s="19"/>
      <c r="Q3" s="19"/>
      <c r="S3" s="19"/>
      <c r="U3" s="19"/>
      <c r="W3" s="24"/>
      <c r="Y3" s="24"/>
      <c r="AA3" s="24"/>
      <c r="AC3" s="24"/>
      <c r="AE3" s="24"/>
      <c r="AG3" s="24"/>
      <c r="AI3" s="24"/>
      <c r="AK3" s="24"/>
      <c r="AM3" s="24"/>
      <c r="AO3" s="24"/>
      <c r="AQ3" s="24"/>
      <c r="AS3" s="24"/>
      <c r="AU3" s="24"/>
      <c r="AW3" s="24"/>
      <c r="AY3" s="24"/>
      <c r="BA3" s="24"/>
      <c r="BC3" s="24"/>
      <c r="BE3" s="24"/>
      <c r="BG3" s="24"/>
      <c r="BI3" s="24"/>
      <c r="BK3" s="24"/>
      <c r="BM3" s="24"/>
      <c r="BO3" s="24"/>
      <c r="BQ3" s="24"/>
      <c r="BS3" s="24"/>
      <c r="BU3" s="24"/>
      <c r="BW3" s="24"/>
      <c r="BY3" s="24"/>
      <c r="CA3" s="24"/>
      <c r="CC3" s="24"/>
      <c r="CE3" s="24"/>
      <c r="CG3" s="25"/>
      <c r="CI3" s="25"/>
      <c r="CK3" s="25"/>
      <c r="CM3" s="25"/>
      <c r="CO3" s="25"/>
      <c r="CQ3" s="25"/>
      <c r="CS3" s="25"/>
    </row>
    <row r="4" ht="21.0" customHeight="1">
      <c r="A4" s="28"/>
      <c r="B4" s="29" t="s">
        <v>25</v>
      </c>
      <c r="C4" s="30" t="s">
        <v>26</v>
      </c>
      <c r="D4" s="30" t="s">
        <v>27</v>
      </c>
      <c r="E4" s="30" t="s">
        <v>28</v>
      </c>
      <c r="F4" s="30" t="s">
        <v>29</v>
      </c>
      <c r="G4" s="30" t="s">
        <v>30</v>
      </c>
      <c r="H4" s="31" t="s">
        <v>31</v>
      </c>
      <c r="I4" s="32" t="s">
        <v>32</v>
      </c>
      <c r="AM4" s="33" t="s">
        <v>33</v>
      </c>
      <c r="BB4" s="34" t="s">
        <v>34</v>
      </c>
      <c r="CF4" s="25"/>
      <c r="CH4" s="25"/>
      <c r="CJ4" s="25"/>
      <c r="CL4" s="25"/>
      <c r="CN4" s="25"/>
      <c r="CP4" s="25"/>
      <c r="CR4" s="25"/>
      <c r="CT4" s="25"/>
    </row>
    <row r="5" ht="21.0" customHeight="1">
      <c r="A5" s="35"/>
      <c r="B5" s="36"/>
      <c r="C5" s="36"/>
      <c r="D5" s="36"/>
      <c r="E5" s="36"/>
      <c r="F5" s="36"/>
      <c r="G5" s="36"/>
      <c r="H5" s="36"/>
      <c r="I5" s="37" t="s">
        <v>35</v>
      </c>
      <c r="N5" s="38" t="s">
        <v>36</v>
      </c>
      <c r="S5" s="37" t="s">
        <v>37</v>
      </c>
      <c r="X5" s="38" t="s">
        <v>38</v>
      </c>
      <c r="AC5" s="37" t="s">
        <v>39</v>
      </c>
      <c r="AH5" s="38" t="s">
        <v>40</v>
      </c>
      <c r="AM5" s="37" t="s">
        <v>41</v>
      </c>
      <c r="AR5" s="38" t="s">
        <v>42</v>
      </c>
      <c r="AW5" s="37" t="s">
        <v>43</v>
      </c>
      <c r="BB5" s="38" t="s">
        <v>44</v>
      </c>
      <c r="BG5" s="37" t="s">
        <v>45</v>
      </c>
      <c r="BL5" s="38" t="s">
        <v>46</v>
      </c>
      <c r="BQ5" s="37" t="s">
        <v>47</v>
      </c>
      <c r="BV5" s="38" t="s">
        <v>48</v>
      </c>
      <c r="CA5" s="37" t="s">
        <v>49</v>
      </c>
      <c r="CF5" s="25"/>
      <c r="CH5" s="25"/>
      <c r="CJ5" s="25"/>
      <c r="CL5" s="25"/>
      <c r="CN5" s="25"/>
      <c r="CP5" s="25"/>
      <c r="CR5" s="25"/>
      <c r="CT5" s="25"/>
    </row>
    <row r="6" ht="21.0" customHeight="1">
      <c r="A6" s="35"/>
      <c r="B6" s="36"/>
      <c r="C6" s="36"/>
      <c r="D6" s="36"/>
      <c r="E6" s="36"/>
      <c r="F6" s="36"/>
      <c r="G6" s="36"/>
      <c r="H6" s="36"/>
      <c r="I6" s="39" t="s">
        <v>50</v>
      </c>
      <c r="K6" s="40"/>
      <c r="M6" s="40"/>
      <c r="O6" s="40"/>
      <c r="Q6" s="40"/>
      <c r="S6" s="40"/>
      <c r="U6" s="40"/>
      <c r="W6" s="41"/>
      <c r="Y6" s="41"/>
      <c r="AA6" s="41"/>
      <c r="AC6" s="41"/>
      <c r="AE6" s="42"/>
      <c r="AF6" s="39" t="s">
        <v>51</v>
      </c>
      <c r="AH6" s="41"/>
      <c r="AJ6" s="41"/>
      <c r="AL6" s="41"/>
      <c r="AN6" s="41"/>
      <c r="AP6" s="41"/>
      <c r="AR6" s="41"/>
      <c r="AT6" s="41"/>
      <c r="AV6" s="41"/>
      <c r="AX6" s="41"/>
      <c r="AZ6" s="41"/>
      <c r="BB6" s="39" t="s">
        <v>52</v>
      </c>
      <c r="BD6" s="41"/>
      <c r="BF6" s="41"/>
      <c r="BH6" s="41"/>
      <c r="BJ6" s="41"/>
      <c r="BL6" s="41"/>
      <c r="BN6" s="41"/>
      <c r="BP6" s="41"/>
      <c r="BR6" s="41"/>
      <c r="BT6" s="41"/>
      <c r="BV6" s="42"/>
      <c r="BW6" s="39" t="s">
        <v>53</v>
      </c>
      <c r="BY6" s="41"/>
      <c r="CA6" s="41"/>
      <c r="CC6" s="41"/>
      <c r="CE6" s="41"/>
      <c r="CG6" s="25"/>
      <c r="CI6" s="25"/>
      <c r="CK6" s="25"/>
      <c r="CM6" s="25"/>
      <c r="CO6" s="25"/>
      <c r="CQ6" s="25"/>
      <c r="CS6" s="25"/>
    </row>
    <row r="7">
      <c r="A7" s="35"/>
      <c r="B7" s="36"/>
      <c r="C7" s="36"/>
      <c r="D7" s="36"/>
      <c r="E7" s="36"/>
      <c r="F7" s="36"/>
      <c r="G7" s="36"/>
      <c r="H7" s="36"/>
      <c r="I7" s="43" t="s">
        <v>54</v>
      </c>
      <c r="J7" s="43" t="s">
        <v>55</v>
      </c>
      <c r="K7" s="43" t="s">
        <v>56</v>
      </c>
      <c r="L7" s="43" t="s">
        <v>57</v>
      </c>
      <c r="M7" s="43" t="s">
        <v>58</v>
      </c>
      <c r="N7" s="43" t="s">
        <v>54</v>
      </c>
      <c r="O7" s="43" t="s">
        <v>55</v>
      </c>
      <c r="P7" s="43" t="s">
        <v>56</v>
      </c>
      <c r="Q7" s="43" t="s">
        <v>57</v>
      </c>
      <c r="R7" s="43" t="s">
        <v>58</v>
      </c>
      <c r="S7" s="43" t="s">
        <v>54</v>
      </c>
      <c r="T7" s="43" t="s">
        <v>55</v>
      </c>
      <c r="U7" s="43" t="s">
        <v>56</v>
      </c>
      <c r="V7" s="43" t="s">
        <v>57</v>
      </c>
      <c r="W7" s="43" t="s">
        <v>58</v>
      </c>
      <c r="X7" s="43" t="s">
        <v>54</v>
      </c>
      <c r="Y7" s="43" t="s">
        <v>55</v>
      </c>
      <c r="Z7" s="43" t="s">
        <v>56</v>
      </c>
      <c r="AA7" s="43" t="s">
        <v>57</v>
      </c>
      <c r="AB7" s="43" t="s">
        <v>58</v>
      </c>
      <c r="AC7" s="43" t="s">
        <v>54</v>
      </c>
      <c r="AD7" s="43" t="s">
        <v>55</v>
      </c>
      <c r="AE7" s="43" t="s">
        <v>56</v>
      </c>
      <c r="AF7" s="43" t="s">
        <v>57</v>
      </c>
      <c r="AG7" s="43" t="s">
        <v>58</v>
      </c>
      <c r="AH7" s="43" t="s">
        <v>54</v>
      </c>
      <c r="AI7" s="43" t="s">
        <v>55</v>
      </c>
      <c r="AJ7" s="43" t="s">
        <v>56</v>
      </c>
      <c r="AK7" s="43" t="s">
        <v>57</v>
      </c>
      <c r="AL7" s="43" t="s">
        <v>58</v>
      </c>
      <c r="AM7" s="44" t="s">
        <v>54</v>
      </c>
      <c r="AN7" s="44" t="s">
        <v>55</v>
      </c>
      <c r="AO7" s="44" t="s">
        <v>56</v>
      </c>
      <c r="AP7" s="44" t="s">
        <v>57</v>
      </c>
      <c r="AQ7" s="44" t="s">
        <v>58</v>
      </c>
      <c r="AR7" s="44" t="s">
        <v>54</v>
      </c>
      <c r="AS7" s="44" t="s">
        <v>55</v>
      </c>
      <c r="AT7" s="44" t="s">
        <v>56</v>
      </c>
      <c r="AU7" s="44" t="s">
        <v>57</v>
      </c>
      <c r="AV7" s="44" t="s">
        <v>58</v>
      </c>
      <c r="AW7" s="44" t="s">
        <v>54</v>
      </c>
      <c r="AX7" s="44" t="s">
        <v>55</v>
      </c>
      <c r="AY7" s="44" t="s">
        <v>56</v>
      </c>
      <c r="AZ7" s="44" t="s">
        <v>57</v>
      </c>
      <c r="BA7" s="44" t="s">
        <v>58</v>
      </c>
      <c r="BB7" s="45" t="s">
        <v>54</v>
      </c>
      <c r="BC7" s="45" t="s">
        <v>55</v>
      </c>
      <c r="BD7" s="45" t="s">
        <v>56</v>
      </c>
      <c r="BE7" s="45" t="s">
        <v>57</v>
      </c>
      <c r="BF7" s="45" t="s">
        <v>58</v>
      </c>
      <c r="BG7" s="45" t="s">
        <v>54</v>
      </c>
      <c r="BH7" s="45" t="s">
        <v>55</v>
      </c>
      <c r="BI7" s="45" t="s">
        <v>56</v>
      </c>
      <c r="BJ7" s="45" t="s">
        <v>57</v>
      </c>
      <c r="BK7" s="45" t="s">
        <v>58</v>
      </c>
      <c r="BL7" s="45" t="s">
        <v>54</v>
      </c>
      <c r="BM7" s="45" t="s">
        <v>55</v>
      </c>
      <c r="BN7" s="45" t="s">
        <v>56</v>
      </c>
      <c r="BO7" s="45" t="s">
        <v>57</v>
      </c>
      <c r="BP7" s="45" t="s">
        <v>58</v>
      </c>
      <c r="BQ7" s="45" t="s">
        <v>54</v>
      </c>
      <c r="BR7" s="45" t="s">
        <v>55</v>
      </c>
      <c r="BS7" s="45" t="s">
        <v>56</v>
      </c>
      <c r="BT7" s="45" t="s">
        <v>57</v>
      </c>
      <c r="BU7" s="45" t="s">
        <v>58</v>
      </c>
      <c r="BV7" s="45" t="s">
        <v>54</v>
      </c>
      <c r="BW7" s="45" t="s">
        <v>55</v>
      </c>
      <c r="BX7" s="45" t="s">
        <v>56</v>
      </c>
      <c r="BY7" s="45" t="s">
        <v>57</v>
      </c>
      <c r="BZ7" s="45" t="s">
        <v>58</v>
      </c>
      <c r="CA7" s="45" t="s">
        <v>54</v>
      </c>
      <c r="CB7" s="45" t="s">
        <v>55</v>
      </c>
      <c r="CC7" s="45" t="s">
        <v>56</v>
      </c>
      <c r="CD7" s="45" t="s">
        <v>57</v>
      </c>
      <c r="CE7" s="45" t="s">
        <v>58</v>
      </c>
      <c r="CF7" s="25"/>
      <c r="CH7" s="25"/>
      <c r="CJ7" s="25"/>
      <c r="CL7" s="25"/>
      <c r="CN7" s="25"/>
      <c r="CP7" s="25"/>
      <c r="CR7" s="25"/>
      <c r="CT7" s="25"/>
    </row>
    <row r="8" ht="21.0" customHeight="1">
      <c r="A8" s="19"/>
      <c r="B8" s="46">
        <v>1.0</v>
      </c>
      <c r="C8" s="47" t="s">
        <v>59</v>
      </c>
      <c r="D8" s="48"/>
      <c r="E8" s="48"/>
      <c r="F8" s="48"/>
      <c r="G8" s="48"/>
      <c r="H8" s="48"/>
      <c r="I8" s="49">
        <v>1.0</v>
      </c>
      <c r="J8" s="49">
        <v>2.0</v>
      </c>
      <c r="K8" s="49">
        <v>3.0</v>
      </c>
      <c r="L8" s="49">
        <v>4.0</v>
      </c>
      <c r="M8" s="49">
        <v>5.0</v>
      </c>
      <c r="N8" s="49">
        <v>8.0</v>
      </c>
      <c r="O8" s="49">
        <v>9.0</v>
      </c>
      <c r="P8" s="49">
        <v>10.0</v>
      </c>
      <c r="Q8" s="49">
        <v>11.0</v>
      </c>
      <c r="R8" s="49">
        <v>12.0</v>
      </c>
      <c r="S8" s="49">
        <v>15.0</v>
      </c>
      <c r="T8" s="49">
        <v>16.0</v>
      </c>
      <c r="U8" s="49">
        <v>17.0</v>
      </c>
      <c r="V8" s="49">
        <v>18.0</v>
      </c>
      <c r="W8" s="49">
        <v>19.0</v>
      </c>
      <c r="X8" s="49">
        <v>22.0</v>
      </c>
      <c r="Y8" s="49">
        <v>23.0</v>
      </c>
      <c r="Z8" s="49">
        <v>24.0</v>
      </c>
      <c r="AA8" s="49">
        <v>25.0</v>
      </c>
      <c r="AB8" s="49">
        <v>26.0</v>
      </c>
      <c r="AC8" s="49">
        <v>29.0</v>
      </c>
      <c r="AD8" s="49">
        <v>30.0</v>
      </c>
      <c r="AE8" s="49">
        <v>31.0</v>
      </c>
      <c r="AF8" s="49">
        <v>1.0</v>
      </c>
      <c r="AG8" s="49">
        <v>2.0</v>
      </c>
      <c r="AH8" s="49">
        <v>5.0</v>
      </c>
      <c r="AI8" s="49">
        <v>6.0</v>
      </c>
      <c r="AJ8" s="49">
        <v>7.0</v>
      </c>
      <c r="AK8" s="49">
        <v>8.0</v>
      </c>
      <c r="AL8" s="49">
        <v>9.0</v>
      </c>
      <c r="AM8" s="50">
        <v>12.0</v>
      </c>
      <c r="AN8" s="50">
        <v>13.0</v>
      </c>
      <c r="AO8" s="50">
        <v>14.0</v>
      </c>
      <c r="AP8" s="50">
        <v>15.0</v>
      </c>
      <c r="AQ8" s="50">
        <v>16.0</v>
      </c>
      <c r="AR8" s="50">
        <v>19.0</v>
      </c>
      <c r="AS8" s="50">
        <v>20.0</v>
      </c>
      <c r="AT8" s="50">
        <v>21.0</v>
      </c>
      <c r="AU8" s="50">
        <v>22.0</v>
      </c>
      <c r="AV8" s="50">
        <v>23.0</v>
      </c>
      <c r="AW8" s="50">
        <v>26.0</v>
      </c>
      <c r="AX8" s="50">
        <v>27.0</v>
      </c>
      <c r="AY8" s="50">
        <v>28.0</v>
      </c>
      <c r="AZ8" s="50">
        <v>29.0</v>
      </c>
      <c r="BA8" s="50">
        <v>30.0</v>
      </c>
      <c r="BB8" s="51">
        <v>3.0</v>
      </c>
      <c r="BC8" s="51">
        <v>4.0</v>
      </c>
      <c r="BD8" s="51">
        <v>5.0</v>
      </c>
      <c r="BE8" s="51">
        <v>6.0</v>
      </c>
      <c r="BF8" s="51">
        <v>7.0</v>
      </c>
      <c r="BG8" s="51">
        <v>10.0</v>
      </c>
      <c r="BH8" s="51">
        <v>11.0</v>
      </c>
      <c r="BI8" s="51">
        <v>12.0</v>
      </c>
      <c r="BJ8" s="51">
        <v>13.0</v>
      </c>
      <c r="BK8" s="51">
        <v>14.0</v>
      </c>
      <c r="BL8" s="51">
        <v>17.0</v>
      </c>
      <c r="BM8" s="51">
        <v>18.0</v>
      </c>
      <c r="BN8" s="51">
        <v>19.0</v>
      </c>
      <c r="BO8" s="51">
        <v>20.0</v>
      </c>
      <c r="BP8" s="51">
        <v>21.0</v>
      </c>
      <c r="BQ8" s="51">
        <v>24.0</v>
      </c>
      <c r="BR8" s="51">
        <v>25.0</v>
      </c>
      <c r="BS8" s="51">
        <v>26.0</v>
      </c>
      <c r="BT8" s="51">
        <v>27.0</v>
      </c>
      <c r="BU8" s="51">
        <v>28.0</v>
      </c>
      <c r="BV8" s="51">
        <v>31.0</v>
      </c>
      <c r="BW8" s="51">
        <v>1.0</v>
      </c>
      <c r="BX8" s="51">
        <v>2.0</v>
      </c>
      <c r="BY8" s="51">
        <v>3.0</v>
      </c>
      <c r="BZ8" s="51">
        <v>4.0</v>
      </c>
      <c r="CA8" s="51">
        <v>7.0</v>
      </c>
      <c r="CB8" s="51">
        <v>8.0</v>
      </c>
      <c r="CC8" s="51">
        <v>9.0</v>
      </c>
      <c r="CD8" s="51">
        <v>10.0</v>
      </c>
      <c r="CE8" s="51">
        <v>11.0</v>
      </c>
      <c r="CF8" s="52"/>
      <c r="CH8" s="52"/>
      <c r="CJ8" s="52"/>
      <c r="CL8" s="52"/>
      <c r="CN8" s="52"/>
      <c r="CP8" s="52"/>
      <c r="CR8" s="52"/>
      <c r="CT8" s="52"/>
    </row>
    <row r="9" ht="21.0" customHeight="1">
      <c r="A9" s="53"/>
      <c r="B9" s="54">
        <v>1.1</v>
      </c>
      <c r="C9" s="54" t="s">
        <v>60</v>
      </c>
      <c r="D9" s="55" t="s">
        <v>61</v>
      </c>
      <c r="E9" s="56" t="s">
        <v>62</v>
      </c>
      <c r="F9" s="56" t="s">
        <v>63</v>
      </c>
      <c r="G9" s="55">
        <v>10.0</v>
      </c>
      <c r="H9" s="57">
        <v>0.0</v>
      </c>
      <c r="I9" s="58"/>
      <c r="J9" s="58"/>
      <c r="K9" s="58"/>
      <c r="L9" s="58"/>
      <c r="M9" s="58"/>
      <c r="N9" s="58"/>
      <c r="O9" s="58"/>
      <c r="P9" s="58"/>
      <c r="Q9" s="58"/>
      <c r="R9" s="58"/>
      <c r="S9" s="59"/>
      <c r="T9" s="59"/>
      <c r="U9" s="59"/>
      <c r="V9" s="59"/>
      <c r="W9" s="59"/>
      <c r="X9" s="59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52"/>
      <c r="CH9" s="52"/>
      <c r="CJ9" s="52"/>
      <c r="CL9" s="52"/>
      <c r="CN9" s="52"/>
      <c r="CP9" s="52"/>
      <c r="CR9" s="52"/>
      <c r="CT9" s="52"/>
    </row>
    <row r="10" ht="21.0" customHeight="1">
      <c r="A10" s="53"/>
      <c r="B10" s="54">
        <v>1.2</v>
      </c>
      <c r="C10" s="54" t="s">
        <v>64</v>
      </c>
      <c r="D10" s="55" t="s">
        <v>65</v>
      </c>
      <c r="E10" s="56" t="s">
        <v>66</v>
      </c>
      <c r="F10" s="56" t="s">
        <v>67</v>
      </c>
      <c r="G10" s="55">
        <v>10.0</v>
      </c>
      <c r="H10" s="57">
        <v>0.0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52"/>
      <c r="CH10" s="52"/>
      <c r="CJ10" s="52"/>
      <c r="CL10" s="52"/>
      <c r="CN10" s="52"/>
      <c r="CP10" s="52"/>
      <c r="CR10" s="52"/>
      <c r="CT10" s="52"/>
    </row>
    <row r="11" ht="21.0" customHeight="1">
      <c r="A11" s="53"/>
      <c r="B11" s="54">
        <v>1.3</v>
      </c>
      <c r="C11" s="54" t="s">
        <v>68</v>
      </c>
      <c r="D11" s="55" t="s">
        <v>69</v>
      </c>
      <c r="E11" s="56" t="s">
        <v>70</v>
      </c>
      <c r="F11" s="56" t="s">
        <v>71</v>
      </c>
      <c r="G11" s="55">
        <v>5.0</v>
      </c>
      <c r="H11" s="57">
        <v>0.0</v>
      </c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58"/>
      <c r="AD11" s="58"/>
      <c r="AE11" s="58"/>
      <c r="AF11" s="58"/>
      <c r="AG11" s="58"/>
      <c r="AH11" s="59"/>
      <c r="AI11" s="59"/>
      <c r="AJ11" s="61"/>
      <c r="AK11" s="61"/>
      <c r="AL11" s="61"/>
      <c r="AM11" s="59"/>
      <c r="AN11" s="59"/>
      <c r="AO11" s="59"/>
      <c r="AP11" s="59"/>
      <c r="AQ11" s="59"/>
      <c r="AR11" s="59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52"/>
      <c r="CH11" s="52"/>
      <c r="CJ11" s="52"/>
      <c r="CL11" s="52"/>
      <c r="CN11" s="52"/>
      <c r="CP11" s="52"/>
      <c r="CR11" s="52"/>
      <c r="CT11" s="52"/>
    </row>
    <row r="12" ht="21.0" customHeight="1">
      <c r="A12" s="53"/>
      <c r="B12" s="63">
        <v>2.0</v>
      </c>
      <c r="C12" s="64" t="s">
        <v>72</v>
      </c>
      <c r="D12" s="65"/>
      <c r="E12" s="66"/>
      <c r="F12" s="66"/>
      <c r="G12" s="65"/>
      <c r="H12" s="67"/>
      <c r="I12" s="65"/>
      <c r="J12" s="68"/>
      <c r="K12" s="69"/>
      <c r="L12" s="69"/>
      <c r="M12" s="65"/>
      <c r="N12" s="65"/>
      <c r="O12" s="70"/>
      <c r="P12" s="69"/>
      <c r="Q12" s="69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71"/>
      <c r="CG12" s="52"/>
      <c r="CI12" s="52"/>
      <c r="CK12" s="52"/>
      <c r="CM12" s="52"/>
      <c r="CO12" s="52"/>
      <c r="CQ12" s="52"/>
      <c r="CS12" s="52"/>
    </row>
    <row r="13" ht="17.25" customHeight="1">
      <c r="A13" s="53"/>
      <c r="B13" s="54">
        <v>2.1</v>
      </c>
      <c r="C13" s="54" t="s">
        <v>73</v>
      </c>
      <c r="D13" s="55" t="s">
        <v>74</v>
      </c>
      <c r="E13" s="56" t="s">
        <v>75</v>
      </c>
      <c r="F13" s="56" t="s">
        <v>76</v>
      </c>
      <c r="G13" s="55">
        <v>3.0</v>
      </c>
      <c r="H13" s="57">
        <v>0.0</v>
      </c>
      <c r="I13" s="72"/>
      <c r="J13" s="73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74"/>
      <c r="AN13" s="74"/>
      <c r="AO13" s="74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52"/>
      <c r="CH13" s="52"/>
      <c r="CJ13" s="52"/>
      <c r="CL13" s="52"/>
      <c r="CN13" s="52"/>
      <c r="CP13" s="52"/>
      <c r="CR13" s="52"/>
      <c r="CT13" s="52"/>
    </row>
    <row r="14" ht="17.25" customHeight="1">
      <c r="A14" s="53"/>
      <c r="B14" s="54">
        <v>2.2</v>
      </c>
      <c r="C14" s="75" t="s">
        <v>77</v>
      </c>
      <c r="D14" s="55" t="s">
        <v>61</v>
      </c>
      <c r="E14" s="56" t="s">
        <v>78</v>
      </c>
      <c r="F14" s="56" t="s">
        <v>79</v>
      </c>
      <c r="G14" s="55">
        <v>8.0</v>
      </c>
      <c r="H14" s="57">
        <v>0.0</v>
      </c>
      <c r="I14" s="76"/>
      <c r="J14" s="77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2"/>
      <c r="AE14" s="62"/>
      <c r="AF14" s="62"/>
      <c r="AG14" s="62"/>
      <c r="AH14" s="62"/>
      <c r="AI14" s="62"/>
      <c r="AJ14" s="62"/>
      <c r="AK14" s="62"/>
      <c r="AL14" s="61"/>
      <c r="AM14" s="61"/>
      <c r="AN14" s="61"/>
      <c r="AO14" s="61"/>
      <c r="AP14" s="61"/>
      <c r="AQ14" s="61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52"/>
      <c r="CH14" s="52"/>
      <c r="CJ14" s="52"/>
      <c r="CL14" s="52"/>
      <c r="CN14" s="52"/>
      <c r="CP14" s="52"/>
      <c r="CR14" s="52"/>
      <c r="CT14" s="52"/>
    </row>
    <row r="15" ht="17.25" customHeight="1">
      <c r="A15" s="53"/>
      <c r="B15" s="54">
        <v>2.3</v>
      </c>
      <c r="C15" s="78" t="s">
        <v>80</v>
      </c>
      <c r="D15" s="55" t="s">
        <v>81</v>
      </c>
      <c r="E15" s="56" t="s">
        <v>82</v>
      </c>
      <c r="F15" s="56" t="s">
        <v>83</v>
      </c>
      <c r="G15" s="55">
        <v>10.0</v>
      </c>
      <c r="H15" s="57">
        <v>0.0</v>
      </c>
      <c r="I15" s="76"/>
      <c r="J15" s="77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0"/>
      <c r="AN15" s="60"/>
      <c r="AO15" s="60"/>
      <c r="AP15" s="60"/>
      <c r="AQ15" s="60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60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52"/>
      <c r="CH15" s="52"/>
      <c r="CJ15" s="52"/>
      <c r="CL15" s="52"/>
      <c r="CN15" s="52"/>
      <c r="CP15" s="52"/>
      <c r="CR15" s="52"/>
      <c r="CT15" s="52"/>
    </row>
    <row r="16" ht="21.0" customHeight="1">
      <c r="A16" s="53"/>
      <c r="B16" s="63">
        <v>3.0</v>
      </c>
      <c r="C16" s="64" t="s">
        <v>84</v>
      </c>
      <c r="D16" s="65"/>
      <c r="E16" s="66"/>
      <c r="F16" s="66"/>
      <c r="G16" s="65"/>
      <c r="H16" s="67"/>
      <c r="I16" s="65"/>
      <c r="J16" s="68"/>
      <c r="K16" s="69"/>
      <c r="L16" s="69"/>
      <c r="M16" s="65"/>
      <c r="N16" s="65"/>
      <c r="O16" s="70"/>
      <c r="P16" s="69"/>
      <c r="Q16" s="69"/>
      <c r="R16" s="69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71"/>
      <c r="CG16" s="79"/>
      <c r="CI16" s="80"/>
      <c r="CK16" s="52"/>
      <c r="CM16" s="52"/>
      <c r="CO16" s="52"/>
      <c r="CQ16" s="52"/>
      <c r="CS16" s="52"/>
    </row>
    <row r="17" outlineLevel="1">
      <c r="A17" s="53"/>
      <c r="B17" s="54">
        <v>3.1</v>
      </c>
      <c r="C17" s="54" t="s">
        <v>85</v>
      </c>
      <c r="D17" s="55" t="s">
        <v>65</v>
      </c>
      <c r="E17" s="56" t="s">
        <v>86</v>
      </c>
      <c r="F17" s="56" t="s">
        <v>87</v>
      </c>
      <c r="G17" s="55">
        <v>10.0</v>
      </c>
      <c r="H17" s="57">
        <v>0.0</v>
      </c>
      <c r="I17" s="72"/>
      <c r="J17" s="73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52"/>
      <c r="CH17" s="52"/>
      <c r="CJ17" s="52"/>
      <c r="CL17" s="52"/>
      <c r="CN17" s="52"/>
      <c r="CP17" s="52"/>
      <c r="CR17" s="52"/>
      <c r="CT17" s="52"/>
    </row>
    <row r="18" ht="17.25" customHeight="1" outlineLevel="1">
      <c r="A18" s="53"/>
      <c r="B18" s="54">
        <v>3.2</v>
      </c>
      <c r="C18" s="78" t="s">
        <v>88</v>
      </c>
      <c r="D18" s="55" t="s">
        <v>89</v>
      </c>
      <c r="E18" s="56" t="s">
        <v>90</v>
      </c>
      <c r="F18" s="56" t="s">
        <v>91</v>
      </c>
      <c r="G18" s="55">
        <v>10.0</v>
      </c>
      <c r="H18" s="57">
        <v>0.0</v>
      </c>
      <c r="I18" s="76"/>
      <c r="J18" s="77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82"/>
      <c r="BM18" s="83"/>
      <c r="BN18" s="83"/>
      <c r="BO18" s="83"/>
      <c r="BP18" s="83"/>
      <c r="BQ18" s="83"/>
      <c r="BR18" s="83"/>
      <c r="BS18" s="83"/>
      <c r="BT18" s="83"/>
      <c r="BU18" s="81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52"/>
      <c r="CH18" s="52"/>
      <c r="CJ18" s="52"/>
      <c r="CL18" s="52"/>
      <c r="CN18" s="52"/>
      <c r="CP18" s="52"/>
      <c r="CR18" s="52"/>
      <c r="CT18" s="52"/>
    </row>
    <row r="19" ht="17.25" customHeight="1" outlineLevel="1">
      <c r="A19" s="53"/>
      <c r="B19" s="54">
        <v>3.3</v>
      </c>
      <c r="C19" s="75" t="s">
        <v>92</v>
      </c>
      <c r="D19" s="55" t="s">
        <v>89</v>
      </c>
      <c r="E19" s="56" t="s">
        <v>93</v>
      </c>
      <c r="F19" s="56" t="s">
        <v>94</v>
      </c>
      <c r="G19" s="55">
        <v>15.0</v>
      </c>
      <c r="H19" s="57">
        <v>0.0</v>
      </c>
      <c r="I19" s="76"/>
      <c r="J19" s="77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83"/>
      <c r="BO19" s="83"/>
      <c r="BP19" s="83"/>
      <c r="BQ19" s="81"/>
      <c r="BR19" s="81"/>
      <c r="BS19" s="81"/>
      <c r="BT19" s="81"/>
      <c r="BU19" s="81"/>
      <c r="BV19" s="83"/>
      <c r="BW19" s="83"/>
      <c r="BX19" s="83"/>
      <c r="BY19" s="83"/>
      <c r="BZ19" s="83"/>
      <c r="CA19" s="83"/>
      <c r="CB19" s="83"/>
      <c r="CC19" s="61"/>
      <c r="CD19" s="61"/>
      <c r="CE19" s="61"/>
      <c r="CF19" s="52"/>
      <c r="CH19" s="52"/>
      <c r="CJ19" s="52"/>
      <c r="CL19" s="52"/>
      <c r="CN19" s="52"/>
      <c r="CP19" s="52"/>
      <c r="CR19" s="52"/>
      <c r="CT19" s="52"/>
    </row>
    <row r="20" ht="21.0" customHeight="1">
      <c r="A20" s="84"/>
      <c r="B20" s="84"/>
      <c r="C20" s="84"/>
      <c r="D20" s="84"/>
      <c r="E20" s="85"/>
      <c r="F20" s="85"/>
      <c r="G20" s="84"/>
      <c r="H20" s="86"/>
      <c r="I20" s="86"/>
      <c r="J20" s="87"/>
      <c r="K20" s="88"/>
      <c r="L20" s="88"/>
      <c r="M20" s="84"/>
      <c r="N20" s="84"/>
      <c r="O20" s="89"/>
      <c r="P20" s="88"/>
      <c r="Q20" s="88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9"/>
      <c r="CH20" s="88"/>
      <c r="CI20" s="88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</row>
    <row r="21" ht="17.25" customHeight="1" outlineLevel="1">
      <c r="A21" s="84"/>
      <c r="B21" s="84"/>
      <c r="C21" s="84"/>
      <c r="D21" s="84"/>
      <c r="E21" s="85"/>
      <c r="F21" s="85"/>
      <c r="G21" s="84"/>
      <c r="H21" s="86"/>
      <c r="I21" s="86"/>
      <c r="J21" s="87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</row>
    <row r="22" outlineLevel="1">
      <c r="A22" s="84"/>
      <c r="B22" s="84"/>
      <c r="C22" s="84"/>
      <c r="D22" s="84"/>
      <c r="E22" s="85"/>
      <c r="F22" s="85"/>
      <c r="G22" s="84"/>
      <c r="H22" s="86"/>
      <c r="I22" s="86"/>
      <c r="J22" s="87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</row>
    <row r="23" ht="17.25" customHeight="1" outlineLevel="1">
      <c r="A23" s="84"/>
      <c r="B23" s="84"/>
      <c r="C23" s="84"/>
      <c r="D23" s="84"/>
      <c r="E23" s="85"/>
      <c r="F23" s="85"/>
      <c r="G23" s="84"/>
      <c r="H23" s="86"/>
      <c r="I23" s="86"/>
      <c r="J23" s="87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</row>
    <row r="24" ht="21.0" customHeight="1">
      <c r="A24" s="84"/>
      <c r="B24" s="84"/>
      <c r="C24" s="84"/>
      <c r="D24" s="84"/>
      <c r="E24" s="84"/>
      <c r="F24" s="84"/>
      <c r="G24" s="84"/>
      <c r="H24" s="84"/>
      <c r="I24" s="84"/>
      <c r="J24" s="87"/>
      <c r="K24" s="88"/>
      <c r="L24" s="88"/>
      <c r="M24" s="84"/>
      <c r="N24" s="84"/>
      <c r="O24" s="89"/>
      <c r="P24" s="88"/>
      <c r="Q24" s="88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9"/>
      <c r="CH24" s="88"/>
      <c r="CI24" s="88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</row>
    <row r="25" ht="17.25" customHeight="1" outlineLevel="1">
      <c r="A25" s="84"/>
      <c r="B25" s="84"/>
      <c r="C25" s="84"/>
      <c r="D25" s="84"/>
      <c r="E25" s="85"/>
      <c r="F25" s="85"/>
      <c r="G25" s="84"/>
      <c r="H25" s="86"/>
      <c r="I25" s="86"/>
      <c r="J25" s="87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</row>
    <row r="26" outlineLevel="1">
      <c r="A26" s="84"/>
      <c r="B26" s="84"/>
      <c r="C26" s="84"/>
      <c r="D26" s="84"/>
      <c r="E26" s="85"/>
      <c r="F26" s="85"/>
      <c r="G26" s="84"/>
      <c r="H26" s="86"/>
      <c r="I26" s="86"/>
      <c r="J26" s="87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</row>
    <row r="27" ht="17.25" customHeight="1" outlineLevel="1">
      <c r="A27" s="84"/>
      <c r="B27" s="84"/>
      <c r="C27" s="84"/>
      <c r="D27" s="84"/>
      <c r="E27" s="85"/>
      <c r="F27" s="85"/>
      <c r="G27" s="84"/>
      <c r="H27" s="86"/>
      <c r="I27" s="86"/>
      <c r="J27" s="87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</row>
    <row r="28" ht="21.0" customHeight="1">
      <c r="A28" s="84"/>
      <c r="B28" s="84"/>
      <c r="C28" s="84"/>
      <c r="D28" s="84"/>
      <c r="E28" s="85"/>
      <c r="F28" s="85"/>
      <c r="G28" s="84"/>
      <c r="H28" s="86"/>
      <c r="I28" s="86"/>
      <c r="J28" s="87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</row>
    <row r="29" ht="21.0" customHeight="1">
      <c r="A29" s="84"/>
      <c r="B29" s="84"/>
      <c r="C29" s="84"/>
      <c r="D29" s="84"/>
      <c r="E29" s="84"/>
      <c r="F29" s="84"/>
      <c r="G29" s="84"/>
      <c r="H29" s="84"/>
      <c r="I29" s="84"/>
      <c r="J29" s="87"/>
      <c r="K29" s="88"/>
      <c r="L29" s="88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</row>
    <row r="30" ht="21.0" customHeight="1">
      <c r="A30" s="84"/>
      <c r="B30" s="84"/>
      <c r="C30" s="84"/>
      <c r="D30" s="84"/>
      <c r="E30" s="85"/>
      <c r="F30" s="85"/>
      <c r="G30" s="84"/>
      <c r="H30" s="86"/>
      <c r="I30" s="86"/>
      <c r="J30" s="87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</row>
    <row r="31" ht="15.75" customHeight="1">
      <c r="E31" s="85"/>
      <c r="F31" s="85"/>
      <c r="H31" s="86"/>
      <c r="I31" s="86"/>
      <c r="J31" s="87"/>
    </row>
    <row r="32" ht="15.75" customHeight="1">
      <c r="E32" s="85"/>
      <c r="F32" s="85"/>
      <c r="H32" s="86"/>
      <c r="I32" s="86"/>
      <c r="J32" s="87"/>
    </row>
    <row r="33" ht="15.75" customHeight="1">
      <c r="E33" s="85"/>
      <c r="F33" s="85"/>
      <c r="H33" s="86"/>
      <c r="I33" s="86"/>
      <c r="J33" s="87"/>
    </row>
    <row r="34" ht="15.75" customHeight="1">
      <c r="E34" s="85"/>
      <c r="F34" s="85"/>
      <c r="H34" s="86"/>
      <c r="I34" s="86"/>
      <c r="J34" s="87"/>
    </row>
    <row r="35" ht="15.75" customHeight="1">
      <c r="E35" s="85"/>
      <c r="F35" s="85"/>
      <c r="H35" s="86"/>
      <c r="I35" s="86"/>
      <c r="J35" s="87"/>
    </row>
    <row r="36" ht="15.75" customHeight="1">
      <c r="J36" s="87"/>
      <c r="K36" s="88"/>
      <c r="L36" s="88"/>
    </row>
    <row r="37" ht="15.75" customHeight="1">
      <c r="E37" s="85"/>
      <c r="F37" s="85"/>
      <c r="H37" s="86"/>
      <c r="I37" s="86"/>
      <c r="J37" s="87"/>
    </row>
    <row r="38" ht="15.75" customHeight="1">
      <c r="E38" s="85"/>
      <c r="F38" s="85"/>
      <c r="H38" s="86"/>
      <c r="I38" s="86"/>
      <c r="J38" s="87"/>
    </row>
    <row r="39" ht="15.75" customHeight="1">
      <c r="E39" s="85"/>
      <c r="F39" s="85"/>
      <c r="H39" s="86"/>
      <c r="I39" s="86"/>
      <c r="J39" s="87"/>
    </row>
    <row r="40" ht="15.75" customHeight="1">
      <c r="E40" s="85"/>
      <c r="F40" s="85"/>
      <c r="H40" s="86"/>
      <c r="I40" s="86"/>
      <c r="J40" s="8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07"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M2:N2"/>
    <mergeCell ref="O2:P2"/>
    <mergeCell ref="Q2:R2"/>
    <mergeCell ref="S2:T2"/>
    <mergeCell ref="AC2:AD2"/>
    <mergeCell ref="AE2:AF2"/>
    <mergeCell ref="AG2:AH2"/>
    <mergeCell ref="AI2:AJ2"/>
    <mergeCell ref="AK2:AL2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Q2:CR2"/>
    <mergeCell ref="CS2:CT2"/>
    <mergeCell ref="CH1:CI1"/>
    <mergeCell ref="CJ1:CK1"/>
    <mergeCell ref="CL1:CM1"/>
    <mergeCell ref="CN1:CO1"/>
    <mergeCell ref="CP1:CQ1"/>
    <mergeCell ref="CR1:CS1"/>
    <mergeCell ref="CO2:CP2"/>
    <mergeCell ref="U2:V2"/>
    <mergeCell ref="W2:X2"/>
    <mergeCell ref="Y2:Z2"/>
    <mergeCell ref="AA2:AB2"/>
    <mergeCell ref="B1:C1"/>
    <mergeCell ref="D1:G1"/>
    <mergeCell ref="N1:W1"/>
    <mergeCell ref="X1:Y1"/>
    <mergeCell ref="Z1:AA1"/>
    <mergeCell ref="AB1:AC1"/>
    <mergeCell ref="A2:B2"/>
    <mergeCell ref="A3:B3"/>
    <mergeCell ref="I3:J3"/>
    <mergeCell ref="K3:L3"/>
    <mergeCell ref="M3:N3"/>
    <mergeCell ref="O3:P3"/>
    <mergeCell ref="Q3:R3"/>
    <mergeCell ref="S3:T3"/>
    <mergeCell ref="AI3:AJ3"/>
    <mergeCell ref="AK3:AL3"/>
    <mergeCell ref="AM3:AN3"/>
    <mergeCell ref="AO3:AP3"/>
    <mergeCell ref="AQ3:AR3"/>
    <mergeCell ref="AS3:AT3"/>
    <mergeCell ref="AU3:AV3"/>
    <mergeCell ref="AM4:BA4"/>
    <mergeCell ref="CA5:CE5"/>
    <mergeCell ref="CF5:CG5"/>
    <mergeCell ref="CH5:CI5"/>
    <mergeCell ref="CJ5:CK5"/>
    <mergeCell ref="CL5:CM5"/>
    <mergeCell ref="CN5:CO5"/>
    <mergeCell ref="CP5:CQ5"/>
    <mergeCell ref="CR5:CS5"/>
    <mergeCell ref="AR5:AV5"/>
    <mergeCell ref="AW5:BA5"/>
    <mergeCell ref="BB5:BF5"/>
    <mergeCell ref="BG5:BK5"/>
    <mergeCell ref="BL5:BP5"/>
    <mergeCell ref="BQ5:BU5"/>
    <mergeCell ref="BV5:BZ5"/>
    <mergeCell ref="CF13:CG13"/>
    <mergeCell ref="CH13:CI13"/>
    <mergeCell ref="CJ13:CK13"/>
    <mergeCell ref="CL13:CM13"/>
    <mergeCell ref="CN13:CO13"/>
    <mergeCell ref="CP13:CQ13"/>
    <mergeCell ref="CR13:CS13"/>
    <mergeCell ref="CF14:CG14"/>
    <mergeCell ref="CH14:CI14"/>
    <mergeCell ref="CJ14:CK14"/>
    <mergeCell ref="CL14:CM14"/>
    <mergeCell ref="CN14:CO14"/>
    <mergeCell ref="CP14:CQ14"/>
    <mergeCell ref="CR14:CS14"/>
    <mergeCell ref="CF15:CG15"/>
    <mergeCell ref="CH15:CI15"/>
    <mergeCell ref="CJ15:CK15"/>
    <mergeCell ref="CL15:CM15"/>
    <mergeCell ref="CN15:CO15"/>
    <mergeCell ref="CP15:CQ15"/>
    <mergeCell ref="CR15:CS15"/>
    <mergeCell ref="CG16:CH16"/>
    <mergeCell ref="CI16:CJ16"/>
    <mergeCell ref="CK16:CL16"/>
    <mergeCell ref="CM16:CN16"/>
    <mergeCell ref="CO16:CP16"/>
    <mergeCell ref="CQ16:CR16"/>
    <mergeCell ref="CS16:CT16"/>
    <mergeCell ref="CF17:CG17"/>
    <mergeCell ref="CH17:CI17"/>
    <mergeCell ref="CJ17:CK17"/>
    <mergeCell ref="CL17:CM17"/>
    <mergeCell ref="CN17:CO17"/>
    <mergeCell ref="CP17:CQ17"/>
    <mergeCell ref="CR17:CS17"/>
    <mergeCell ref="CF18:CG18"/>
    <mergeCell ref="CH18:CI18"/>
    <mergeCell ref="CJ18:CK18"/>
    <mergeCell ref="CL18:CM18"/>
    <mergeCell ref="CN18:CO18"/>
    <mergeCell ref="CP18:CQ18"/>
    <mergeCell ref="CR18:CS18"/>
    <mergeCell ref="CC6:CD6"/>
    <mergeCell ref="CE6:CF6"/>
    <mergeCell ref="CG6:CH6"/>
    <mergeCell ref="CI6:CJ6"/>
    <mergeCell ref="CK6:CL6"/>
    <mergeCell ref="CM6:CN6"/>
    <mergeCell ref="CO6:CP6"/>
    <mergeCell ref="CF7:CG7"/>
    <mergeCell ref="CH7:CI7"/>
    <mergeCell ref="CJ7:CK7"/>
    <mergeCell ref="CL7:CM7"/>
    <mergeCell ref="CN7:CO7"/>
    <mergeCell ref="CP7:CQ7"/>
    <mergeCell ref="CR7:CS7"/>
    <mergeCell ref="CF9:CG9"/>
    <mergeCell ref="CH9:CI9"/>
    <mergeCell ref="CJ9:CK9"/>
    <mergeCell ref="CL9:CM9"/>
    <mergeCell ref="CN9:CO9"/>
    <mergeCell ref="CP9:CQ9"/>
    <mergeCell ref="CR9:CS9"/>
    <mergeCell ref="CF10:CG10"/>
    <mergeCell ref="CH10:CI10"/>
    <mergeCell ref="CJ10:CK10"/>
    <mergeCell ref="CL10:CM10"/>
    <mergeCell ref="CN10:CO10"/>
    <mergeCell ref="CP10:CQ10"/>
    <mergeCell ref="CR10:CS10"/>
    <mergeCell ref="CF11:CG11"/>
    <mergeCell ref="CH11:CI11"/>
    <mergeCell ref="CJ11:CK11"/>
    <mergeCell ref="CL11:CM11"/>
    <mergeCell ref="CN11:CO11"/>
    <mergeCell ref="CP11:CQ11"/>
    <mergeCell ref="CR11:CS11"/>
    <mergeCell ref="CG12:CH12"/>
    <mergeCell ref="CI12:CJ12"/>
    <mergeCell ref="CK12:CL12"/>
    <mergeCell ref="CM12:CN12"/>
    <mergeCell ref="CO12:CP12"/>
    <mergeCell ref="CQ12:CR12"/>
    <mergeCell ref="CS12:CT12"/>
    <mergeCell ref="CF19:CG19"/>
    <mergeCell ref="CH19:CI19"/>
    <mergeCell ref="CJ19:CK19"/>
    <mergeCell ref="CL19:CM19"/>
    <mergeCell ref="CN19:CO19"/>
    <mergeCell ref="CP19:CQ19"/>
    <mergeCell ref="CR19:CS19"/>
    <mergeCell ref="BA2:BB2"/>
    <mergeCell ref="BC2:BD2"/>
    <mergeCell ref="AM2:AN2"/>
    <mergeCell ref="AO2:AP2"/>
    <mergeCell ref="AQ2:AR2"/>
    <mergeCell ref="AS2:AT2"/>
    <mergeCell ref="AU2:AV2"/>
    <mergeCell ref="AW2:AX2"/>
    <mergeCell ref="AY2:AZ2"/>
    <mergeCell ref="BS2:BT2"/>
    <mergeCell ref="BU2:BV2"/>
    <mergeCell ref="BE2:BF2"/>
    <mergeCell ref="BG2:BH2"/>
    <mergeCell ref="BI2:BJ2"/>
    <mergeCell ref="BK2:BL2"/>
    <mergeCell ref="BM2:BN2"/>
    <mergeCell ref="BO2:BP2"/>
    <mergeCell ref="BQ2:BR2"/>
    <mergeCell ref="CK2:CL2"/>
    <mergeCell ref="CM2:CN2"/>
    <mergeCell ref="BW2:BX2"/>
    <mergeCell ref="BY2:BZ2"/>
    <mergeCell ref="CA2:CB2"/>
    <mergeCell ref="CC2:CD2"/>
    <mergeCell ref="CE2:CF2"/>
    <mergeCell ref="CG2:CH2"/>
    <mergeCell ref="CI2:CJ2"/>
    <mergeCell ref="AW3:AX3"/>
    <mergeCell ref="AY3:AZ3"/>
    <mergeCell ref="BA3:BB3"/>
    <mergeCell ref="BC3:BD3"/>
    <mergeCell ref="BE3:BF3"/>
    <mergeCell ref="BG3:BH3"/>
    <mergeCell ref="BI3:BJ3"/>
    <mergeCell ref="CM3:CN3"/>
    <mergeCell ref="CO3:CP3"/>
    <mergeCell ref="CQ3:CR3"/>
    <mergeCell ref="CS3:CT3"/>
    <mergeCell ref="BY3:BZ3"/>
    <mergeCell ref="CA3:CB3"/>
    <mergeCell ref="CC3:CD3"/>
    <mergeCell ref="CE3:CF3"/>
    <mergeCell ref="CG3:CH3"/>
    <mergeCell ref="CI3:CJ3"/>
    <mergeCell ref="CK3:CL3"/>
    <mergeCell ref="BB4:CE4"/>
    <mergeCell ref="CF4:CG4"/>
    <mergeCell ref="CH4:CI4"/>
    <mergeCell ref="CJ4:CK4"/>
    <mergeCell ref="CL4:CM4"/>
    <mergeCell ref="CN4:CO4"/>
    <mergeCell ref="CP4:CQ4"/>
    <mergeCell ref="CR4:CS4"/>
    <mergeCell ref="BK3:BL3"/>
    <mergeCell ref="BM3:BN3"/>
    <mergeCell ref="BO3:BP3"/>
    <mergeCell ref="BQ3:BR3"/>
    <mergeCell ref="BS3:BT3"/>
    <mergeCell ref="BU3:BV3"/>
    <mergeCell ref="BW3:BX3"/>
    <mergeCell ref="K2:L2"/>
    <mergeCell ref="I5:M5"/>
    <mergeCell ref="I6:J6"/>
    <mergeCell ref="K6:L6"/>
    <mergeCell ref="I1:M1"/>
    <mergeCell ref="I2:J2"/>
    <mergeCell ref="B4:B7"/>
    <mergeCell ref="C4:C7"/>
    <mergeCell ref="D4:D7"/>
    <mergeCell ref="E4:E7"/>
    <mergeCell ref="H4:H7"/>
    <mergeCell ref="W3:X3"/>
    <mergeCell ref="Y3:Z3"/>
    <mergeCell ref="AA3:AB3"/>
    <mergeCell ref="AC3:AD3"/>
    <mergeCell ref="AE3:AF3"/>
    <mergeCell ref="AG3:AH3"/>
    <mergeCell ref="I4:AL4"/>
    <mergeCell ref="U3:V3"/>
    <mergeCell ref="N5:R5"/>
    <mergeCell ref="S5:W5"/>
    <mergeCell ref="X5:AB5"/>
    <mergeCell ref="AC5:AG5"/>
    <mergeCell ref="AH5:AL5"/>
    <mergeCell ref="AM5:AQ5"/>
    <mergeCell ref="F4:F7"/>
    <mergeCell ref="G4:G7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W6:BX6"/>
    <mergeCell ref="BY6:BZ6"/>
    <mergeCell ref="CA6:CB6"/>
    <mergeCell ref="CQ6:CR6"/>
    <mergeCell ref="CS6:CT6"/>
    <mergeCell ref="CF8:CG8"/>
    <mergeCell ref="CH8:CI8"/>
    <mergeCell ref="CJ8:CK8"/>
    <mergeCell ref="CL8:CM8"/>
    <mergeCell ref="CN8:CO8"/>
    <mergeCell ref="CP8:CQ8"/>
    <mergeCell ref="CR8:CS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6" width="12.63"/>
    <col customWidth="1" min="7" max="7" width="27.0"/>
    <col customWidth="1" min="8" max="8" width="25.63"/>
  </cols>
  <sheetData>
    <row r="1" ht="38.25" customHeight="1">
      <c r="A1" s="90" t="s">
        <v>95</v>
      </c>
      <c r="B1" s="91"/>
      <c r="C1" s="91"/>
      <c r="D1" s="91"/>
      <c r="E1" s="91"/>
      <c r="F1" s="91"/>
      <c r="G1" s="91"/>
      <c r="H1" s="91"/>
      <c r="I1" s="91"/>
      <c r="J1" s="92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</row>
    <row r="2" ht="15.0" customHeight="1">
      <c r="A2" s="94"/>
      <c r="B2" s="94"/>
      <c r="C2" s="94"/>
      <c r="D2" s="94"/>
      <c r="E2" s="94"/>
      <c r="F2" s="94"/>
      <c r="G2" s="95"/>
      <c r="H2" s="96" t="s">
        <v>96</v>
      </c>
      <c r="I2" s="97" t="s">
        <v>97</v>
      </c>
      <c r="J2" s="97" t="s">
        <v>98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</row>
    <row r="3" ht="15.0" customHeight="1">
      <c r="A3" s="98"/>
      <c r="B3" s="93"/>
      <c r="C3" s="94"/>
      <c r="D3" s="94"/>
      <c r="E3" s="94"/>
      <c r="F3" s="94"/>
      <c r="G3" s="99"/>
      <c r="H3" s="100">
        <f t="shared" ref="H3:I3" si="1">H21</f>
        <v>62000</v>
      </c>
      <c r="I3" s="101">
        <f t="shared" si="1"/>
        <v>0</v>
      </c>
      <c r="J3" s="102">
        <f>H3-I3</f>
        <v>62000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</row>
    <row r="4" ht="15.0" customHeight="1">
      <c r="A4" s="103"/>
      <c r="B4" s="103"/>
      <c r="C4" s="103"/>
      <c r="D4" s="103"/>
      <c r="E4" s="103"/>
      <c r="F4" s="103"/>
      <c r="G4" s="104"/>
      <c r="H4" s="105"/>
      <c r="I4" s="105"/>
      <c r="J4" s="105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</row>
    <row r="5" ht="15.0" customHeight="1">
      <c r="A5" s="106"/>
      <c r="B5" s="107" t="s">
        <v>99</v>
      </c>
      <c r="C5" s="2"/>
      <c r="D5" s="3"/>
      <c r="E5" s="107" t="s">
        <v>100</v>
      </c>
      <c r="F5" s="3"/>
      <c r="G5" s="108" t="s">
        <v>101</v>
      </c>
      <c r="H5" s="109" t="s">
        <v>102</v>
      </c>
      <c r="I5" s="110" t="s">
        <v>103</v>
      </c>
      <c r="J5" s="111" t="s">
        <v>104</v>
      </c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</row>
    <row r="6" ht="15.0" customHeight="1">
      <c r="A6" s="112" t="s">
        <v>26</v>
      </c>
      <c r="B6" s="112" t="s">
        <v>105</v>
      </c>
      <c r="C6" s="112" t="s">
        <v>106</v>
      </c>
      <c r="D6" s="112" t="s">
        <v>107</v>
      </c>
      <c r="E6" s="112" t="s">
        <v>108</v>
      </c>
      <c r="F6" s="112" t="s">
        <v>109</v>
      </c>
      <c r="G6" s="113"/>
      <c r="H6" s="114"/>
      <c r="I6" s="114"/>
      <c r="J6" s="114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</row>
    <row r="7" ht="15.0" customHeight="1">
      <c r="A7" s="116" t="s">
        <v>110</v>
      </c>
      <c r="B7" s="117"/>
      <c r="C7" s="117"/>
      <c r="D7" s="117"/>
      <c r="E7" s="117"/>
      <c r="F7" s="117"/>
      <c r="G7" s="118"/>
      <c r="H7" s="119"/>
      <c r="I7" s="119"/>
      <c r="J7" s="119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</row>
    <row r="8" ht="15.0" customHeight="1">
      <c r="A8" s="120" t="s">
        <v>111</v>
      </c>
      <c r="B8" s="121"/>
      <c r="C8" s="121"/>
      <c r="D8" s="121"/>
      <c r="E8" s="122">
        <v>2.0</v>
      </c>
      <c r="F8" s="122">
        <v>15000.0</v>
      </c>
      <c r="G8" s="123"/>
      <c r="H8" s="124">
        <f t="shared" ref="H8:H10" si="2">C8*D8+E8*F8+G8</f>
        <v>30000</v>
      </c>
      <c r="I8" s="125"/>
      <c r="J8" s="124">
        <f t="shared" ref="J8:J10" si="3">I8-H8</f>
        <v>-30000</v>
      </c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</row>
    <row r="9" ht="15.0" customHeight="1">
      <c r="A9" s="126" t="s">
        <v>112</v>
      </c>
      <c r="B9" s="121"/>
      <c r="C9" s="121"/>
      <c r="D9" s="121"/>
      <c r="E9" s="122">
        <v>1500.0</v>
      </c>
      <c r="F9" s="122">
        <v>2.0</v>
      </c>
      <c r="G9" s="123"/>
      <c r="H9" s="124">
        <f t="shared" si="2"/>
        <v>3000</v>
      </c>
      <c r="I9" s="125"/>
      <c r="J9" s="124">
        <f t="shared" si="3"/>
        <v>-3000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</row>
    <row r="10" ht="15.0" customHeight="1">
      <c r="A10" s="126" t="s">
        <v>113</v>
      </c>
      <c r="B10" s="127" t="s">
        <v>114</v>
      </c>
      <c r="C10" s="122">
        <v>160.0</v>
      </c>
      <c r="D10" s="122">
        <v>15.0</v>
      </c>
      <c r="E10" s="121"/>
      <c r="F10" s="121"/>
      <c r="G10" s="123"/>
      <c r="H10" s="124">
        <f t="shared" si="2"/>
        <v>2400</v>
      </c>
      <c r="I10" s="125"/>
      <c r="J10" s="124">
        <f t="shared" si="3"/>
        <v>-2400</v>
      </c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</row>
    <row r="11" ht="15.0" customHeight="1">
      <c r="A11" s="128" t="s">
        <v>115</v>
      </c>
      <c r="B11" s="129"/>
      <c r="C11" s="130"/>
      <c r="D11" s="129"/>
      <c r="E11" s="130"/>
      <c r="F11" s="130"/>
      <c r="G11" s="131" t="s">
        <v>116</v>
      </c>
      <c r="H11" s="132">
        <f t="shared" ref="H11:I11" si="4">SUM(H8:H10)</f>
        <v>35400</v>
      </c>
      <c r="I11" s="132">
        <f t="shared" si="4"/>
        <v>0</v>
      </c>
      <c r="J11" s="13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</row>
    <row r="12" ht="15.0" customHeight="1">
      <c r="A12" s="134" t="s">
        <v>117</v>
      </c>
      <c r="B12" s="135"/>
      <c r="C12" s="136"/>
      <c r="D12" s="135"/>
      <c r="E12" s="136"/>
      <c r="F12" s="136"/>
      <c r="G12" s="137"/>
      <c r="H12" s="138"/>
      <c r="I12" s="138"/>
      <c r="J12" s="138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</row>
    <row r="13" ht="15.0" customHeight="1">
      <c r="A13" s="139" t="s">
        <v>118</v>
      </c>
      <c r="B13" s="140"/>
      <c r="C13" s="141"/>
      <c r="D13" s="140"/>
      <c r="E13" s="141"/>
      <c r="F13" s="140"/>
      <c r="G13" s="142">
        <v>15000.0</v>
      </c>
      <c r="H13" s="124">
        <f>C13*D13+E13*F13+G13</f>
        <v>15000</v>
      </c>
      <c r="I13" s="125"/>
      <c r="J13" s="143">
        <f>I13-H13</f>
        <v>-15000</v>
      </c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</row>
    <row r="14" ht="15.0" customHeight="1">
      <c r="A14" s="128" t="s">
        <v>115</v>
      </c>
      <c r="B14" s="129"/>
      <c r="C14" s="129"/>
      <c r="D14" s="129"/>
      <c r="E14" s="129"/>
      <c r="F14" s="129"/>
      <c r="G14" s="131" t="s">
        <v>116</v>
      </c>
      <c r="H14" s="132">
        <f t="shared" ref="H14:I14" si="5">SUM(H13)</f>
        <v>15000</v>
      </c>
      <c r="I14" s="132">
        <f t="shared" si="5"/>
        <v>0</v>
      </c>
      <c r="J14" s="13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</row>
    <row r="15" ht="15.0" customHeight="1">
      <c r="A15" s="144" t="s">
        <v>119</v>
      </c>
      <c r="B15" s="135"/>
      <c r="C15" s="136"/>
      <c r="D15" s="145"/>
      <c r="E15" s="136"/>
      <c r="F15" s="136"/>
      <c r="G15" s="137"/>
      <c r="H15" s="146"/>
      <c r="I15" s="138"/>
      <c r="J15" s="138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</row>
    <row r="16" ht="15.0" customHeight="1">
      <c r="A16" s="126" t="s">
        <v>120</v>
      </c>
      <c r="B16" s="147" t="s">
        <v>65</v>
      </c>
      <c r="C16" s="148">
        <v>80.0</v>
      </c>
      <c r="D16" s="148">
        <v>50.0</v>
      </c>
      <c r="E16" s="149"/>
      <c r="F16" s="149"/>
      <c r="G16" s="150"/>
      <c r="H16" s="151">
        <f t="shared" ref="H16:H18" si="6">C16*D16+E16*F16+G16</f>
        <v>4000</v>
      </c>
      <c r="I16" s="152"/>
      <c r="J16" s="124">
        <f t="shared" ref="J16:J18" si="7">I16-H16</f>
        <v>-4000</v>
      </c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</row>
    <row r="17" ht="15.0" customHeight="1">
      <c r="A17" s="126" t="s">
        <v>121</v>
      </c>
      <c r="B17" s="147" t="s">
        <v>89</v>
      </c>
      <c r="C17" s="148">
        <v>80.0</v>
      </c>
      <c r="D17" s="148">
        <v>25.0</v>
      </c>
      <c r="E17" s="149"/>
      <c r="F17" s="149"/>
      <c r="G17" s="150"/>
      <c r="H17" s="151">
        <f t="shared" si="6"/>
        <v>2000</v>
      </c>
      <c r="I17" s="152"/>
      <c r="J17" s="124">
        <f t="shared" si="7"/>
        <v>-2000</v>
      </c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</row>
    <row r="18" ht="15.0" customHeight="1">
      <c r="A18" s="126" t="s">
        <v>122</v>
      </c>
      <c r="B18" s="147" t="s">
        <v>89</v>
      </c>
      <c r="C18" s="148">
        <v>80.0</v>
      </c>
      <c r="D18" s="148">
        <v>25.0</v>
      </c>
      <c r="E18" s="149"/>
      <c r="F18" s="149"/>
      <c r="G18" s="150"/>
      <c r="H18" s="151">
        <f t="shared" si="6"/>
        <v>2000</v>
      </c>
      <c r="I18" s="152"/>
      <c r="J18" s="124">
        <f t="shared" si="7"/>
        <v>-2000</v>
      </c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</row>
    <row r="19" ht="15.0" customHeight="1">
      <c r="A19" s="128" t="s">
        <v>115</v>
      </c>
      <c r="B19" s="130"/>
      <c r="C19" s="130"/>
      <c r="D19" s="130"/>
      <c r="E19" s="130"/>
      <c r="F19" s="130"/>
      <c r="G19" s="131" t="s">
        <v>116</v>
      </c>
      <c r="H19" s="153">
        <f>SUM(H16:H18)</f>
        <v>8000</v>
      </c>
      <c r="I19" s="154">
        <f>SUM(I17:I18)</f>
        <v>0</v>
      </c>
      <c r="J19" s="13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</row>
    <row r="20" ht="15.0" customHeight="1">
      <c r="A20" s="155" t="s">
        <v>123</v>
      </c>
      <c r="B20" s="135"/>
      <c r="C20" s="135"/>
      <c r="D20" s="135"/>
      <c r="E20" s="135"/>
      <c r="F20" s="135"/>
      <c r="G20" s="137"/>
      <c r="H20" s="151">
        <v>3600.0</v>
      </c>
      <c r="I20" s="156"/>
      <c r="J20" s="157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</row>
    <row r="21" ht="15.0" customHeight="1">
      <c r="A21" s="158" t="s">
        <v>124</v>
      </c>
      <c r="B21" s="159"/>
      <c r="C21" s="159"/>
      <c r="D21" s="159"/>
      <c r="E21" s="159"/>
      <c r="F21" s="159"/>
      <c r="G21" s="160"/>
      <c r="H21" s="161">
        <f t="shared" ref="H21:I21" si="8">H11+H14+H19+H20</f>
        <v>62000</v>
      </c>
      <c r="I21" s="162">
        <f t="shared" si="8"/>
        <v>0</v>
      </c>
      <c r="J21" s="16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</row>
    <row r="22" ht="15.0" customHeight="1">
      <c r="A22" s="84"/>
      <c r="B22" s="164"/>
      <c r="C22" s="164"/>
      <c r="D22" s="164"/>
      <c r="E22" s="164"/>
      <c r="F22" s="164"/>
      <c r="G22" s="164"/>
      <c r="H22" s="164"/>
      <c r="I22" s="16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</row>
    <row r="23" ht="15.0" customHeight="1">
      <c r="A23" s="84"/>
      <c r="B23" s="164"/>
      <c r="C23" s="164"/>
      <c r="D23" s="164"/>
      <c r="E23" s="164"/>
      <c r="F23" s="164"/>
      <c r="G23" s="164"/>
      <c r="H23" s="164"/>
      <c r="I23" s="16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</row>
    <row r="24" ht="15.0" customHeight="1">
      <c r="A24" s="84"/>
      <c r="B24" s="164"/>
      <c r="C24" s="164"/>
      <c r="D24" s="164"/>
      <c r="E24" s="164"/>
      <c r="F24" s="164"/>
      <c r="G24" s="164"/>
      <c r="H24" s="164"/>
      <c r="I24" s="16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</row>
    <row r="25" ht="15.0" customHeight="1">
      <c r="A25" s="84"/>
      <c r="B25" s="164"/>
      <c r="C25" s="164"/>
      <c r="D25" s="164"/>
      <c r="E25" s="164"/>
      <c r="F25" s="164"/>
      <c r="G25" s="164"/>
      <c r="H25" s="164"/>
      <c r="I25" s="16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</row>
    <row r="26" ht="15.0" customHeight="1">
      <c r="A26" s="84"/>
      <c r="B26" s="164"/>
      <c r="C26" s="164"/>
      <c r="D26" s="164"/>
      <c r="E26" s="164"/>
      <c r="F26" s="164"/>
      <c r="G26" s="164"/>
      <c r="H26" s="164"/>
      <c r="I26" s="16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</row>
    <row r="27" ht="15.0" customHeight="1">
      <c r="A27" s="84"/>
      <c r="B27" s="84"/>
      <c r="C27" s="84"/>
      <c r="D27" s="84"/>
      <c r="E27" s="84"/>
      <c r="F27" s="84"/>
      <c r="G27" s="164"/>
      <c r="H27" s="16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</row>
    <row r="28" ht="15.0" customHeight="1">
      <c r="A28" s="84"/>
      <c r="B28" s="84"/>
      <c r="C28" s="84"/>
      <c r="D28" s="84"/>
      <c r="E28" s="84"/>
      <c r="F28" s="84"/>
      <c r="G28" s="164"/>
      <c r="H28" s="16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</row>
    <row r="29" ht="15.0" customHeight="1">
      <c r="A29" s="84"/>
      <c r="B29" s="84"/>
      <c r="C29" s="84"/>
      <c r="D29" s="84"/>
      <c r="E29" s="84"/>
      <c r="F29" s="84"/>
      <c r="G29" s="164"/>
      <c r="H29" s="16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</row>
    <row r="30" ht="15.0" customHeight="1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</row>
    <row r="31" ht="15.0" customHeight="1"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</row>
    <row r="32" ht="15.0" customHeight="1"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</row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5.0" customHeight="1"/>
    <row r="803" ht="15.0" customHeight="1"/>
    <row r="804" ht="15.0" customHeight="1"/>
    <row r="805" ht="15.0" customHeight="1"/>
    <row r="806" ht="15.0" customHeight="1"/>
    <row r="807" ht="15.0" customHeight="1"/>
    <row r="808" ht="15.0" customHeight="1"/>
    <row r="809" ht="15.0" customHeight="1"/>
    <row r="810" ht="15.0" customHeight="1"/>
    <row r="811" ht="15.0" customHeight="1"/>
    <row r="812" ht="15.0" customHeight="1"/>
    <row r="813" ht="15.0" customHeight="1"/>
    <row r="814" ht="15.0" customHeight="1"/>
    <row r="815" ht="15.0" customHeight="1"/>
    <row r="816" ht="15.0" customHeight="1"/>
    <row r="817" ht="15.0" customHeight="1"/>
    <row r="818" ht="15.0" customHeight="1"/>
    <row r="819" ht="15.0" customHeight="1"/>
    <row r="820" ht="15.0" customHeight="1"/>
    <row r="821" ht="15.0" customHeight="1"/>
    <row r="822" ht="15.0" customHeight="1"/>
    <row r="823" ht="15.0" customHeight="1"/>
    <row r="824" ht="15.0" customHeight="1"/>
    <row r="825" ht="15.0" customHeight="1"/>
    <row r="826" ht="15.0" customHeight="1"/>
    <row r="827" ht="15.0" customHeight="1"/>
    <row r="828" ht="15.0" customHeight="1"/>
    <row r="829" ht="15.0" customHeight="1"/>
    <row r="830" ht="15.0" customHeight="1"/>
    <row r="831" ht="15.0" customHeight="1"/>
    <row r="832" ht="15.0" customHeight="1"/>
    <row r="833" ht="15.0" customHeight="1"/>
    <row r="834" ht="15.0" customHeight="1"/>
    <row r="835" ht="15.0" customHeight="1"/>
    <row r="836" ht="15.0" customHeight="1"/>
    <row r="837" ht="15.0" customHeight="1"/>
    <row r="838" ht="15.0" customHeight="1"/>
    <row r="839" ht="15.0" customHeight="1"/>
    <row r="840" ht="15.0" customHeight="1"/>
    <row r="841" ht="15.0" customHeight="1"/>
    <row r="842" ht="15.0" customHeight="1"/>
    <row r="843" ht="15.0" customHeight="1"/>
    <row r="844" ht="15.0" customHeight="1"/>
    <row r="845" ht="15.0" customHeight="1"/>
    <row r="846" ht="15.0" customHeight="1"/>
    <row r="847" ht="15.0" customHeight="1"/>
    <row r="848" ht="15.0" customHeight="1"/>
    <row r="849" ht="15.0" customHeight="1"/>
    <row r="850" ht="15.0" customHeight="1"/>
    <row r="851" ht="15.0" customHeight="1"/>
    <row r="852" ht="15.0" customHeight="1"/>
    <row r="853" ht="15.0" customHeight="1"/>
    <row r="854" ht="15.0" customHeight="1"/>
    <row r="855" ht="15.0" customHeight="1"/>
    <row r="856" ht="15.0" customHeight="1"/>
    <row r="857" ht="15.0" customHeight="1"/>
    <row r="858" ht="15.0" customHeight="1"/>
    <row r="859" ht="15.0" customHeight="1"/>
    <row r="860" ht="15.0" customHeight="1"/>
    <row r="861" ht="15.0" customHeight="1"/>
    <row r="862" ht="15.0" customHeight="1"/>
    <row r="863" ht="15.0" customHeight="1"/>
    <row r="864" ht="15.0" customHeight="1"/>
    <row r="865" ht="15.0" customHeight="1"/>
    <row r="866" ht="15.0" customHeight="1"/>
    <row r="867" ht="15.0" customHeight="1"/>
    <row r="868" ht="15.0" customHeight="1"/>
    <row r="869" ht="15.0" customHeight="1"/>
    <row r="870" ht="15.0" customHeight="1"/>
    <row r="871" ht="15.0" customHeight="1"/>
    <row r="872" ht="15.0" customHeight="1"/>
    <row r="873" ht="15.0" customHeight="1"/>
    <row r="874" ht="15.0" customHeight="1"/>
    <row r="875" ht="15.0" customHeight="1"/>
    <row r="876" ht="15.0" customHeight="1"/>
    <row r="877" ht="15.0" customHeight="1"/>
    <row r="878" ht="15.0" customHeight="1"/>
    <row r="879" ht="15.0" customHeight="1"/>
    <row r="880" ht="15.0" customHeight="1"/>
    <row r="881" ht="15.0" customHeight="1"/>
    <row r="882" ht="15.0" customHeight="1"/>
    <row r="883" ht="15.0" customHeight="1"/>
    <row r="884" ht="15.0" customHeight="1"/>
    <row r="885" ht="15.0" customHeight="1"/>
    <row r="886" ht="15.0" customHeight="1"/>
    <row r="887" ht="15.0" customHeight="1"/>
    <row r="888" ht="15.0" customHeight="1"/>
    <row r="889" ht="15.0" customHeight="1"/>
    <row r="890" ht="15.0" customHeight="1"/>
    <row r="891" ht="15.0" customHeight="1"/>
    <row r="892" ht="15.0" customHeight="1"/>
    <row r="893" ht="15.0" customHeight="1"/>
    <row r="894" ht="15.0" customHeight="1"/>
    <row r="895" ht="15.0" customHeight="1"/>
    <row r="896" ht="15.0" customHeight="1"/>
    <row r="897" ht="15.0" customHeight="1"/>
    <row r="898" ht="15.0" customHeight="1"/>
    <row r="899" ht="15.0" customHeight="1"/>
    <row r="900" ht="15.0" customHeight="1"/>
    <row r="901" ht="15.0" customHeight="1"/>
    <row r="902" ht="15.0" customHeight="1"/>
    <row r="903" ht="15.0" customHeight="1"/>
    <row r="904" ht="15.0" customHeight="1"/>
    <row r="905" ht="15.0" customHeight="1"/>
    <row r="906" ht="15.0" customHeight="1"/>
    <row r="907" ht="15.0" customHeight="1"/>
    <row r="908" ht="15.0" customHeight="1"/>
    <row r="909" ht="15.0" customHeight="1"/>
    <row r="910" ht="15.0" customHeight="1"/>
    <row r="911" ht="15.0" customHeight="1"/>
    <row r="912" ht="15.0" customHeight="1"/>
    <row r="913" ht="15.0" customHeight="1"/>
    <row r="914" ht="15.0" customHeight="1"/>
    <row r="915" ht="15.0" customHeight="1"/>
    <row r="916" ht="15.0" customHeight="1"/>
    <row r="917" ht="15.0" customHeight="1"/>
    <row r="918" ht="15.0" customHeight="1"/>
    <row r="919" ht="15.0" customHeight="1"/>
    <row r="920" ht="15.0" customHeight="1"/>
    <row r="921" ht="15.0" customHeight="1"/>
    <row r="922" ht="15.0" customHeight="1"/>
    <row r="923" ht="15.0" customHeight="1"/>
    <row r="924" ht="15.0" customHeight="1"/>
    <row r="925" ht="15.0" customHeight="1"/>
    <row r="926" ht="15.0" customHeight="1"/>
    <row r="927" ht="15.0" customHeight="1"/>
    <row r="928" ht="15.0" customHeight="1"/>
    <row r="929" ht="15.0" customHeight="1"/>
    <row r="930" ht="15.0" customHeight="1"/>
    <row r="931" ht="15.0" customHeight="1"/>
    <row r="932" ht="15.0" customHeight="1"/>
    <row r="933" ht="15.0" customHeight="1"/>
    <row r="934" ht="15.0" customHeight="1"/>
    <row r="935" ht="15.0" customHeight="1"/>
    <row r="936" ht="15.0" customHeight="1"/>
    <row r="937" ht="15.0" customHeight="1"/>
    <row r="938" ht="15.0" customHeight="1"/>
    <row r="939" ht="15.0" customHeight="1"/>
    <row r="940" ht="15.0" customHeight="1"/>
    <row r="941" ht="15.0" customHeight="1"/>
    <row r="942" ht="15.0" customHeight="1"/>
    <row r="943" ht="15.0" customHeight="1"/>
    <row r="944" ht="15.0" customHeight="1"/>
    <row r="945" ht="15.0" customHeight="1"/>
    <row r="946" ht="15.0" customHeight="1"/>
    <row r="947" ht="15.0" customHeight="1"/>
    <row r="948" ht="15.0" customHeight="1"/>
    <row r="949" ht="15.0" customHeight="1"/>
    <row r="950" ht="15.0" customHeight="1"/>
    <row r="951" ht="15.0" customHeight="1"/>
    <row r="952" ht="15.0" customHeight="1"/>
    <row r="953" ht="15.0" customHeight="1"/>
    <row r="954" ht="15.0" customHeight="1"/>
    <row r="955" ht="15.0" customHeight="1"/>
    <row r="956" ht="15.0" customHeight="1"/>
    <row r="957" ht="15.0" customHeight="1"/>
    <row r="958" ht="15.0" customHeight="1"/>
    <row r="959" ht="15.0" customHeight="1"/>
    <row r="960" ht="15.0" customHeight="1"/>
    <row r="961" ht="15.0" customHeight="1"/>
    <row r="962" ht="15.0" customHeight="1"/>
    <row r="963" ht="15.0" customHeight="1"/>
    <row r="964" ht="15.0" customHeight="1"/>
    <row r="965" ht="15.0" customHeight="1"/>
    <row r="966" ht="15.0" customHeight="1"/>
    <row r="967" ht="15.0" customHeight="1"/>
    <row r="968" ht="15.0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</sheetData>
  <mergeCells count="3">
    <mergeCell ref="A1:J1"/>
    <mergeCell ref="B5:D5"/>
    <mergeCell ref="E5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.5"/>
    <col customWidth="1" min="3" max="3" width="17.0"/>
    <col customWidth="1" min="4" max="5" width="16.38"/>
    <col customWidth="1" min="6" max="6" width="24.75"/>
    <col customWidth="1" min="7" max="7" width="30.5"/>
    <col customWidth="1" min="8" max="8" width="18.38"/>
    <col customWidth="1" min="9" max="9" width="37.38"/>
  </cols>
  <sheetData>
    <row r="1" ht="68.25" customHeight="1">
      <c r="A1" s="165"/>
      <c r="B1" s="166" t="s">
        <v>125</v>
      </c>
    </row>
    <row r="2" ht="45.0" customHeight="1">
      <c r="A2" s="167" t="s">
        <v>126</v>
      </c>
      <c r="B2" s="167" t="s">
        <v>127</v>
      </c>
      <c r="C2" s="167" t="s">
        <v>128</v>
      </c>
      <c r="D2" s="167" t="s">
        <v>129</v>
      </c>
      <c r="E2" s="167" t="s">
        <v>130</v>
      </c>
      <c r="F2" s="167" t="s">
        <v>131</v>
      </c>
      <c r="G2" s="167" t="s">
        <v>132</v>
      </c>
      <c r="H2" s="167" t="s">
        <v>133</v>
      </c>
      <c r="I2" s="167" t="s">
        <v>134</v>
      </c>
    </row>
    <row r="3">
      <c r="A3" s="168" t="s">
        <v>135</v>
      </c>
      <c r="B3" s="169" t="s">
        <v>136</v>
      </c>
      <c r="C3" s="169" t="s">
        <v>137</v>
      </c>
      <c r="D3" s="169" t="s">
        <v>138</v>
      </c>
      <c r="E3" s="169" t="s">
        <v>139</v>
      </c>
      <c r="F3" s="169" t="s">
        <v>140</v>
      </c>
      <c r="G3" s="170" t="s">
        <v>141</v>
      </c>
      <c r="H3" s="171" t="s">
        <v>142</v>
      </c>
      <c r="I3" s="170" t="s">
        <v>143</v>
      </c>
    </row>
    <row r="4">
      <c r="A4" s="168" t="s">
        <v>144</v>
      </c>
      <c r="B4" s="169" t="s">
        <v>136</v>
      </c>
      <c r="C4" s="169" t="s">
        <v>145</v>
      </c>
      <c r="D4" s="169" t="s">
        <v>138</v>
      </c>
      <c r="E4" s="170" t="s">
        <v>146</v>
      </c>
      <c r="F4" s="169" t="s">
        <v>140</v>
      </c>
      <c r="G4" s="172" t="s">
        <v>147</v>
      </c>
      <c r="H4" s="173"/>
      <c r="I4" s="173"/>
    </row>
    <row r="5">
      <c r="A5" s="168" t="s">
        <v>148</v>
      </c>
      <c r="B5" s="169" t="s">
        <v>136</v>
      </c>
      <c r="C5" s="169" t="s">
        <v>145</v>
      </c>
      <c r="D5" s="169" t="s">
        <v>149</v>
      </c>
      <c r="E5" s="170" t="s">
        <v>150</v>
      </c>
      <c r="F5" s="169" t="s">
        <v>151</v>
      </c>
      <c r="G5" s="170" t="s">
        <v>152</v>
      </c>
      <c r="H5" s="173"/>
      <c r="I5" s="173"/>
    </row>
    <row r="6">
      <c r="A6" s="168" t="s">
        <v>153</v>
      </c>
      <c r="B6" s="169" t="s">
        <v>154</v>
      </c>
      <c r="C6" s="169" t="s">
        <v>155</v>
      </c>
      <c r="D6" s="169" t="s">
        <v>156</v>
      </c>
      <c r="E6" s="170" t="s">
        <v>157</v>
      </c>
      <c r="F6" s="169" t="s">
        <v>158</v>
      </c>
      <c r="G6" s="170" t="s">
        <v>159</v>
      </c>
      <c r="H6" s="171" t="s">
        <v>160</v>
      </c>
      <c r="I6" s="173"/>
    </row>
    <row r="7">
      <c r="A7" s="168" t="s">
        <v>161</v>
      </c>
      <c r="B7" s="169" t="s">
        <v>154</v>
      </c>
      <c r="C7" s="169" t="s">
        <v>155</v>
      </c>
      <c r="D7" s="169" t="s">
        <v>156</v>
      </c>
      <c r="E7" s="170" t="s">
        <v>162</v>
      </c>
      <c r="F7" s="169" t="s">
        <v>158</v>
      </c>
      <c r="G7" s="170" t="s">
        <v>163</v>
      </c>
      <c r="H7" s="171" t="s">
        <v>164</v>
      </c>
      <c r="I7" s="173"/>
    </row>
    <row r="8">
      <c r="A8" s="168" t="s">
        <v>165</v>
      </c>
      <c r="B8" s="169" t="s">
        <v>166</v>
      </c>
      <c r="C8" s="169" t="s">
        <v>155</v>
      </c>
      <c r="D8" s="169" t="s">
        <v>167</v>
      </c>
      <c r="E8" s="170" t="s">
        <v>168</v>
      </c>
      <c r="F8" s="169" t="s">
        <v>140</v>
      </c>
      <c r="G8" s="170" t="s">
        <v>169</v>
      </c>
      <c r="H8" s="173"/>
      <c r="I8" s="173"/>
    </row>
    <row r="9">
      <c r="A9" s="168" t="s">
        <v>165</v>
      </c>
      <c r="B9" s="169" t="s">
        <v>170</v>
      </c>
      <c r="C9" s="169" t="s">
        <v>155</v>
      </c>
      <c r="D9" s="169" t="s">
        <v>149</v>
      </c>
      <c r="E9" s="173" t="s">
        <v>171</v>
      </c>
      <c r="F9" s="169" t="s">
        <v>140</v>
      </c>
      <c r="G9" s="170" t="s">
        <v>172</v>
      </c>
      <c r="H9" s="173"/>
      <c r="I9" s="170" t="s">
        <v>173</v>
      </c>
    </row>
    <row r="10">
      <c r="A10" s="168" t="s">
        <v>165</v>
      </c>
      <c r="B10" s="169" t="s">
        <v>174</v>
      </c>
      <c r="C10" s="169" t="s">
        <v>155</v>
      </c>
      <c r="D10" s="169" t="s">
        <v>149</v>
      </c>
      <c r="E10" s="170" t="s">
        <v>175</v>
      </c>
      <c r="F10" s="169" t="s">
        <v>151</v>
      </c>
      <c r="G10" s="170" t="s">
        <v>176</v>
      </c>
      <c r="H10" s="173"/>
      <c r="I10" s="173"/>
    </row>
    <row r="11">
      <c r="A11" s="168" t="s">
        <v>177</v>
      </c>
      <c r="B11" s="169" t="s">
        <v>178</v>
      </c>
      <c r="C11" s="169" t="s">
        <v>145</v>
      </c>
      <c r="D11" s="169" t="s">
        <v>138</v>
      </c>
      <c r="E11" s="170" t="s">
        <v>179</v>
      </c>
      <c r="F11" s="169" t="s">
        <v>151</v>
      </c>
      <c r="G11" s="170" t="s">
        <v>180</v>
      </c>
      <c r="H11" s="173"/>
      <c r="I11" s="173"/>
    </row>
    <row r="12">
      <c r="A12" s="168" t="s">
        <v>181</v>
      </c>
      <c r="B12" s="169" t="s">
        <v>178</v>
      </c>
      <c r="C12" s="169" t="s">
        <v>155</v>
      </c>
      <c r="D12" s="169" t="s">
        <v>138</v>
      </c>
      <c r="E12" s="170" t="s">
        <v>157</v>
      </c>
      <c r="F12" s="169" t="s">
        <v>140</v>
      </c>
      <c r="G12" s="170" t="s">
        <v>182</v>
      </c>
      <c r="H12" s="173"/>
      <c r="I12" s="173"/>
    </row>
    <row r="13">
      <c r="A13" s="174"/>
      <c r="B13" s="174"/>
      <c r="C13" s="174"/>
      <c r="D13" s="174"/>
      <c r="F13" s="174"/>
    </row>
    <row r="14">
      <c r="A14" s="174"/>
      <c r="B14" s="174"/>
      <c r="C14" s="174"/>
      <c r="D14" s="174"/>
      <c r="F14" s="174"/>
    </row>
    <row r="15">
      <c r="A15" s="174"/>
      <c r="B15" s="174"/>
      <c r="C15" s="174"/>
      <c r="D15" s="174"/>
      <c r="F15" s="174"/>
    </row>
    <row r="16">
      <c r="A16" s="174"/>
      <c r="B16" s="174"/>
      <c r="C16" s="174"/>
      <c r="D16" s="174"/>
      <c r="F16" s="174"/>
    </row>
    <row r="26">
      <c r="A26" s="174"/>
      <c r="B26" s="174"/>
      <c r="C26" s="174"/>
      <c r="D26" s="174"/>
      <c r="E26" s="174"/>
      <c r="F26" s="174"/>
      <c r="G26" s="174"/>
    </row>
    <row r="27">
      <c r="A27" s="174"/>
      <c r="B27" s="174"/>
      <c r="C27" s="174"/>
      <c r="D27" s="174"/>
      <c r="E27" s="174"/>
      <c r="F27" s="174"/>
      <c r="G27" s="174"/>
    </row>
    <row r="28">
      <c r="A28" s="174"/>
      <c r="B28" s="174"/>
      <c r="C28" s="174"/>
      <c r="D28" s="174"/>
      <c r="E28" s="174"/>
      <c r="F28" s="174"/>
      <c r="G28" s="174"/>
    </row>
    <row r="29">
      <c r="A29" s="174"/>
      <c r="B29" s="174"/>
      <c r="C29" s="174"/>
      <c r="D29" s="174"/>
      <c r="E29" s="174"/>
      <c r="F29" s="174"/>
      <c r="G29" s="174"/>
    </row>
    <row r="30">
      <c r="A30" s="174"/>
      <c r="B30" s="174"/>
      <c r="C30" s="174"/>
      <c r="D30" s="174"/>
      <c r="E30" s="174"/>
      <c r="F30" s="174"/>
      <c r="G30" s="174"/>
    </row>
    <row r="31">
      <c r="A31" s="174"/>
      <c r="B31" s="174"/>
      <c r="C31" s="174"/>
      <c r="D31" s="174"/>
      <c r="E31" s="174"/>
      <c r="F31" s="174"/>
      <c r="G31" s="174"/>
    </row>
    <row r="32">
      <c r="A32" s="174"/>
      <c r="B32" s="174"/>
      <c r="C32" s="174"/>
      <c r="D32" s="174"/>
      <c r="E32" s="174"/>
      <c r="F32" s="174"/>
      <c r="G32" s="174"/>
    </row>
    <row r="33">
      <c r="A33" s="174"/>
      <c r="B33" s="174"/>
      <c r="C33" s="174"/>
      <c r="D33" s="174"/>
      <c r="E33" s="174"/>
      <c r="F33" s="174"/>
      <c r="G33" s="174"/>
    </row>
    <row r="34">
      <c r="A34" s="174"/>
      <c r="B34" s="174"/>
      <c r="C34" s="174"/>
      <c r="D34" s="174"/>
      <c r="E34" s="174"/>
      <c r="F34" s="174"/>
      <c r="G34" s="174"/>
    </row>
    <row r="35">
      <c r="A35" s="174"/>
      <c r="B35" s="174"/>
      <c r="C35" s="174"/>
      <c r="D35" s="174"/>
      <c r="E35" s="174"/>
      <c r="F35" s="174"/>
      <c r="G35" s="174"/>
    </row>
    <row r="36">
      <c r="A36" s="174"/>
      <c r="B36" s="174"/>
      <c r="C36" s="174"/>
      <c r="D36" s="174"/>
      <c r="E36" s="174"/>
      <c r="F36" s="174"/>
      <c r="G36" s="174"/>
    </row>
    <row r="37">
      <c r="A37" s="174"/>
      <c r="B37" s="174"/>
      <c r="C37" s="174"/>
      <c r="D37" s="174"/>
      <c r="E37" s="174"/>
      <c r="F37" s="174"/>
      <c r="G37" s="174"/>
    </row>
    <row r="38">
      <c r="A38" s="174"/>
      <c r="B38" s="174"/>
      <c r="C38" s="174"/>
      <c r="D38" s="174"/>
      <c r="E38" s="174"/>
      <c r="F38" s="174"/>
      <c r="G38" s="174"/>
    </row>
    <row r="39">
      <c r="A39" s="174"/>
      <c r="B39" s="174"/>
      <c r="C39" s="174"/>
      <c r="D39" s="174"/>
      <c r="E39" s="174"/>
      <c r="F39" s="174"/>
      <c r="G39" s="174"/>
    </row>
    <row r="40">
      <c r="A40" s="174"/>
      <c r="B40" s="174"/>
      <c r="C40" s="174"/>
      <c r="D40" s="174"/>
      <c r="E40" s="174"/>
      <c r="F40" s="174"/>
      <c r="G40" s="174"/>
    </row>
  </sheetData>
  <mergeCells count="1">
    <mergeCell ref="B1:I1"/>
  </mergeCells>
  <dataValidations>
    <dataValidation type="list" allowBlank="1" sqref="F3:F12">
      <formula1>"In Person,Phone Call,Email (from individual address),Email (from company address)"</formula1>
    </dataValidation>
    <dataValidation type="list" allowBlank="1" sqref="B3:B12">
      <formula1>"Planning Meeting,Planning Check-In,Training,Informational Update,Status Update,Survey"</formula1>
    </dataValidation>
    <dataValidation type="list" allowBlank="1" sqref="D3:D12">
      <formula1>"Project Manager,Core Team: Administrative Coordinator,Core Team: HR Specialist,Core Team: Training Manager,Core Team: HR Specialist &amp; Training Manager"</formula1>
    </dataValidation>
    <dataValidation type="list" allowBlank="1" sqref="C3:C12">
      <formula1>"Daily,Weekly,One time"</formula1>
    </dataValidation>
  </dataValidations>
  <drawing r:id="rId1"/>
</worksheet>
</file>